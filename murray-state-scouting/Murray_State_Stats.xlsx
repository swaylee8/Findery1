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uting Notes" sheetId="1" state="visible" r:id="rId3"/>
    <sheet name="Player Game Log" sheetId="2" state="visible" r:id="rId4"/>
    <sheet name="Combined Stats" sheetId="3" state="visible" r:id="rId5"/>
    <sheet name="October Only" sheetId="4" state="visible" r:id="rId6"/>
    <sheet name="Team Game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<sst xmlns="http://schemas.openxmlformats.org/spreadsheetml/2006/main" count="585" uniqueCount="156">
  <si>
    <t xml:space="preserve">Murray State scouting notes, for the exhibition on Thursday, Oct 22, 2026</t>
  </si>
  <si>
    <t xml:space="preserve">Built from 5 box scores: Team Barcelona (Aug 4), Maroussi BC (Aug 8), France (Aug 10), at Wichita State (Oct 7), vs Incarnate Word (Oct 18).</t>
  </si>
  <si>
    <t xml:space="preserve">Record</t>
  </si>
  <si>
    <t xml:space="preserve">5–0 (2–0 in October)</t>
  </si>
  <si>
    <t xml:space="preserve">Points per game</t>
  </si>
  <si>
    <t xml:space="preserve">Points allowed per game (4 games with opponent data)</t>
  </si>
  <si>
    <t xml:space="preserve">Opponent turnovers per game</t>
  </si>
  <si>
    <t xml:space="preserve">Steals per game</t>
  </si>
  <si>
    <t xml:space="preserve">Team 3PT%</t>
  </si>
  <si>
    <t xml:space="preserve">Keys for the staff</t>
  </si>
  <si>
    <t xml:space="preserve">Ball security is the game.</t>
  </si>
  <si>
    <t xml:space="preserve">They forced 22.8 turnovers per game (28% of opponent possessions) and averaged 15.4 steals. Wichita State kept it to 15 turnovers and was the only team to stay close (93–87).</t>
  </si>
  <si>
    <t xml:space="preserve">Domon (#77) is the focal point.</t>
  </si>
  <si>
    <t xml:space="preserve">21.2 ppg, 23.5 in October, 30 vs UIW. 26-30 FT but 6-30 from three (20%). Keep him out of the lane, don't foul, make him shoot threes.</t>
  </si>
  <si>
    <t xml:space="preserve">Run Shorter (#34) off the line.</t>
  </si>
  <si>
    <t xml:space="preserve">29 of his 35 shots are threes (10-29, 34%). 4-7 from three at Wichita State.</t>
  </si>
  <si>
    <t xml:space="preserve">Attack Rogers (#11).</t>
  </si>
  <si>
    <t xml:space="preserve">Starter and top rebounder (6.6 rpg), but 25 fouls in 5 games, 0 three-point attempts, 8-14 FT.</t>
  </si>
  <si>
    <t xml:space="preserve">Pressure Magwood (#0).</t>
  </si>
  <si>
    <t xml:space="preserve">Backup PG with 20 turnovers in 5 games (4 in each October game).</t>
  </si>
  <si>
    <t xml:space="preserve">Box out.</t>
  </si>
  <si>
    <t xml:space="preserve">13 offensive rebounds per game; 36% of their own misses. 22 second-chance points vs UIW, 25 vs France.</t>
  </si>
  <si>
    <t xml:space="preserve">Get downhill.</t>
  </si>
  <si>
    <t xml:space="preserve">23.2 fouls per game. Wichita State went 26-32 at the line with 36 paint points.</t>
  </si>
  <si>
    <t xml:space="preserve">Second-half push, deep bench.</t>
  </si>
  <si>
    <t xml:space="preserve">October second halves: 57 and 53 points. 10–14 players play; bench averaged 42 points.</t>
  </si>
  <si>
    <t xml:space="preserve">Likely starting five</t>
  </si>
  <si>
    <t xml:space="preserve">#77 Roman Domon (F), #11 Brigham Rogers (F), #14 Lachlan Crate (F), #8 Talis Soulhac (G), #34 Brayden Shorter (G). Same five in both October games.</t>
  </si>
  <si>
    <t xml:space="preserve">Murray State player box scores, one row per player per game</t>
  </si>
  <si>
    <t xml:space="preserve">Blue = values entered from the box scores (source: the scanned PDF of 5 box scores). Black = formulas. Edit blue cells only.</t>
  </si>
  <si>
    <t xml:space="preserve">Game</t>
  </si>
  <si>
    <t xml:space="preserve">Date</t>
  </si>
  <si>
    <t xml:space="preserve">Period</t>
  </si>
  <si>
    <t xml:space="preserve">Opponent</t>
  </si>
  <si>
    <t xml:space="preserve">#</t>
  </si>
  <si>
    <t xml:space="preserve">Player</t>
  </si>
  <si>
    <t xml:space="preserve">MIN</t>
  </si>
  <si>
    <t xml:space="preserve">FGM</t>
  </si>
  <si>
    <t xml:space="preserve">FGA</t>
  </si>
  <si>
    <t xml:space="preserve">3PM</t>
  </si>
  <si>
    <t xml:space="preserve">3PA</t>
  </si>
  <si>
    <t xml:space="preserve">FTM</t>
  </si>
  <si>
    <t xml:space="preserve">FTA</t>
  </si>
  <si>
    <t xml:space="preserve">OREB</t>
  </si>
  <si>
    <t xml:space="preserve">DREB</t>
  </si>
  <si>
    <t xml:space="preserve">REB</t>
  </si>
  <si>
    <t xml:space="preserve">AST</t>
  </si>
  <si>
    <t xml:space="preserve">TO</t>
  </si>
  <si>
    <t xml:space="preserve">STL</t>
  </si>
  <si>
    <t xml:space="preserve">BLK</t>
  </si>
  <si>
    <t xml:space="preserve">PF</t>
  </si>
  <si>
    <t xml:space="preserve">PTS</t>
  </si>
  <si>
    <t xml:space="preserve">Started</t>
  </si>
  <si>
    <t xml:space="preserve">BAR</t>
  </si>
  <si>
    <t xml:space="preserve">Aug 4, 2026</t>
  </si>
  <si>
    <t xml:space="preserve">Summer tour</t>
  </si>
  <si>
    <t xml:space="preserve">Team Barcelona</t>
  </si>
  <si>
    <t xml:space="preserve">Christian Jones</t>
  </si>
  <si>
    <t xml:space="preserve">n/a</t>
  </si>
  <si>
    <t xml:space="preserve">Ben Shtolzberg</t>
  </si>
  <si>
    <t xml:space="preserve">Lachlan Crate</t>
  </si>
  <si>
    <t xml:space="preserve">Shon Tupuola</t>
  </si>
  <si>
    <t xml:space="preserve">Roman Domon</t>
  </si>
  <si>
    <t xml:space="preserve">Brigham Rogers</t>
  </si>
  <si>
    <t xml:space="preserve">Kaden Magwood</t>
  </si>
  <si>
    <t xml:space="preserve">Mathis Courbon</t>
  </si>
  <si>
    <t xml:space="preserve">Brayden Shorter</t>
  </si>
  <si>
    <t xml:space="preserve">Mark Padjen</t>
  </si>
  <si>
    <t xml:space="preserve">Navon Shabazz</t>
  </si>
  <si>
    <t xml:space="preserve">Dillon Butler</t>
  </si>
  <si>
    <t xml:space="preserve">MAR</t>
  </si>
  <si>
    <t xml:space="preserve">Aug 8, 2026</t>
  </si>
  <si>
    <t xml:space="preserve">Maroussi BC</t>
  </si>
  <si>
    <t xml:space="preserve">FRA</t>
  </si>
  <si>
    <t xml:space="preserve">Aug 10, 2026</t>
  </si>
  <si>
    <t xml:space="preserve">France</t>
  </si>
  <si>
    <t xml:space="preserve">No</t>
  </si>
  <si>
    <t xml:space="preserve">Yes</t>
  </si>
  <si>
    <t xml:space="preserve">WSU</t>
  </si>
  <si>
    <t xml:space="preserve">Oct 7, 2026</t>
  </si>
  <si>
    <t xml:space="preserve">October</t>
  </si>
  <si>
    <t xml:space="preserve">at Wichita State</t>
  </si>
  <si>
    <t xml:space="preserve">Talis Soulhac</t>
  </si>
  <si>
    <t xml:space="preserve">UIW</t>
  </si>
  <si>
    <t xml:space="preserve">Oct 18, 2026</t>
  </si>
  <si>
    <t xml:space="preserve">vs Incarnate Word</t>
  </si>
  <si>
    <t xml:space="preserve">Jonas Boulefaa</t>
  </si>
  <si>
    <t xml:space="preserve">MIN is in decimal minutes (20:35 = 20.6). The Maroussi BC sheet had no minutes, so MIN is blank for that game. Players who show all zeros on the Maroussi sheet are left out of it.</t>
  </si>
  <si>
    <t xml:space="preserve">Murray State: combined player stats, all 5 games</t>
  </si>
  <si>
    <t xml:space="preserve">Every number below is a formula over the Player Game Log tab. Per-game = total ÷ GP. MPG uses only games with minutes recorded.</t>
  </si>
  <si>
    <t xml:space="preserve">GP</t>
  </si>
  <si>
    <t xml:space="preserve">GS</t>
  </si>
  <si>
    <t xml:space="preserve">MPG</t>
  </si>
  <si>
    <t xml:space="preserve">PPG</t>
  </si>
  <si>
    <t xml:space="preserve">RPG</t>
  </si>
  <si>
    <t xml:space="preserve">APG</t>
  </si>
  <si>
    <t xml:space="preserve">TOPG</t>
  </si>
  <si>
    <t xml:space="preserve">SPG</t>
  </si>
  <si>
    <t xml:space="preserve">PF/G</t>
  </si>
  <si>
    <t xml:space="preserve">FG%</t>
  </si>
  <si>
    <t xml:space="preserve">3P%</t>
  </si>
  <si>
    <t xml:space="preserve">FT%</t>
  </si>
  <si>
    <t xml:space="preserve">eFG%</t>
  </si>
  <si>
    <t xml:space="preserve">TS%</t>
  </si>
  <si>
    <t xml:space="preserve">PTS/40</t>
  </si>
  <si>
    <t xml:space="preserve">Team (players)</t>
  </si>
  <si>
    <t xml:space="preserve">Team rebounds and team turnovers are credited to no player, so the player sum can be a few rebounds/turnovers lower than the team total. GS counts only games whose box score lists starters (France, Wichita State, UIW).</t>
  </si>
  <si>
    <t xml:space="preserve">Shaded cells = weaknesses flagged in the scouting notes.</t>
  </si>
  <si>
    <t xml:space="preserve">Murray State: player stats, October games only (at Wichita State, vs UIW)</t>
  </si>
  <si>
    <t xml:space="preserve">Team totals by game: Murray State vs opponent, plus points allowed and advanced numbers</t>
  </si>
  <si>
    <t xml:space="preserve">Blue = from the box scores. Black = formulas. Possessions = FGA − OREB + TO + 0.44×FTA. Ratings are points per 100 possessions (average of both teams' possessions).</t>
  </si>
  <si>
    <t xml:space="preserve">MSU PTS</t>
  </si>
  <si>
    <t xml:space="preserve">OPP PTS</t>
  </si>
  <si>
    <t xml:space="preserve">Margin</t>
  </si>
  <si>
    <t xml:space="preserve">Opp FGM</t>
  </si>
  <si>
    <t xml:space="preserve">Opp FGA</t>
  </si>
  <si>
    <t xml:space="preserve">Opp 3PM</t>
  </si>
  <si>
    <t xml:space="preserve">Opp 3PA</t>
  </si>
  <si>
    <t xml:space="preserve">Opp FTM</t>
  </si>
  <si>
    <t xml:space="preserve">Opp FTA</t>
  </si>
  <si>
    <t xml:space="preserve">Opp OREB</t>
  </si>
  <si>
    <t xml:space="preserve">Opp DREB</t>
  </si>
  <si>
    <t xml:space="preserve">Opp AST</t>
  </si>
  <si>
    <t xml:space="preserve">Opp TO</t>
  </si>
  <si>
    <t xml:space="preserve">Opp STL</t>
  </si>
  <si>
    <t xml:space="preserve">Opp BLK</t>
  </si>
  <si>
    <t xml:space="preserve">Opp PF</t>
  </si>
  <si>
    <t xml:space="preserve">Pts off TO</t>
  </si>
  <si>
    <t xml:space="preserve">Opp pts off TO</t>
  </si>
  <si>
    <t xml:space="preserve">Paint</t>
  </si>
  <si>
    <t xml:space="preserve">Opp paint</t>
  </si>
  <si>
    <t xml:space="preserve">2nd chance</t>
  </si>
  <si>
    <t xml:space="preserve">Opp 2nd chance</t>
  </si>
  <si>
    <t xml:space="preserve">Fast break</t>
  </si>
  <si>
    <t xml:space="preserve">Opp fast break</t>
  </si>
  <si>
    <t xml:space="preserve">Bench</t>
  </si>
  <si>
    <t xml:space="preserve">Opp bench</t>
  </si>
  <si>
    <t xml:space="preserve">Opp FG%</t>
  </si>
  <si>
    <t xml:space="preserve">Opp 3P%</t>
  </si>
  <si>
    <t xml:space="preserve">Opp eFG%</t>
  </si>
  <si>
    <t xml:space="preserve">MSU poss</t>
  </si>
  <si>
    <t xml:space="preserve">Opp poss</t>
  </si>
  <si>
    <t xml:space="preserve">Pace</t>
  </si>
  <si>
    <t xml:space="preserve">Off rtg</t>
  </si>
  <si>
    <t xml:space="preserve">Def rtg</t>
  </si>
  <si>
    <t xml:space="preserve">Net rtg</t>
  </si>
  <si>
    <t xml:space="preserve">TO%</t>
  </si>
  <si>
    <t xml:space="preserve">Opp TO%</t>
  </si>
  <si>
    <t xml:space="preserve">Off reb %</t>
  </si>
  <si>
    <t xml:space="preserve">Def reb %</t>
  </si>
  <si>
    <t xml:space="preserve">3PA rate</t>
  </si>
  <si>
    <t xml:space="preserve">FT rate</t>
  </si>
  <si>
    <t xml:space="preserve">Opp FT rate</t>
  </si>
  <si>
    <t xml:space="preserve">Average</t>
  </si>
  <si>
    <t xml:space="preserve">Maroussi BC (Aug 8): the box score is a Murray State-only sheet. Opponent score and opponent stats are blank, so that game drops out of every opponent average automatically.</t>
  </si>
  <si>
    <t xml:space="preserve">France (Aug 10) was a FIBA friendly. Its box score prints 1.26 points per possession for Murray State, which matches Off rtg here (127.5 per 100 by the two-team average; 1.262 by MSU possessions alone).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</si>
</sst>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%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C677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3203A"/>
        <bgColor rgb="FF003366"/>
      </patternFill>
    </fill>
    <fill>
      <patternFill patternType="solid">
        <fgColor rgb="FFFBEA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AE7"/>
      <rgbColor rgb="FFCCFFFF"/>
      <rgbColor rgb="FF660066"/>
      <rgbColor rgb="FFFF8080"/>
      <rgbColor rgb="FF0066CC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7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320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</row>
    <row r="5" customFormat="false" ht="15" hidden="false" customHeight="false" outlineLevel="0" collapsed="false">
      <c r="B5" s="3" t="s">
        <v>4</v>
      </c>
      <c r="C5" s="4" t="n">
        <f aca="false">AVERAGE('Team Game Log'!D5:D9)</f>
        <v>95.8</v>
      </c>
    </row>
    <row r="6" customFormat="false" ht="15" hidden="false" customHeight="false" outlineLevel="0" collapsed="false">
      <c r="B6" s="3" t="s">
        <v>5</v>
      </c>
      <c r="C6" s="4" t="n">
        <f aca="false">AVERAGE('Team Game Log'!E5:E9)</f>
        <v>72.25</v>
      </c>
    </row>
    <row r="7" customFormat="false" ht="15" hidden="false" customHeight="false" outlineLevel="0" collapsed="false">
      <c r="B7" s="3" t="s">
        <v>6</v>
      </c>
      <c r="C7" s="4" t="n">
        <f aca="false">AVERAGE('Team Game Log'!AC5:AC9)</f>
        <v>22.75</v>
      </c>
    </row>
    <row r="8" customFormat="false" ht="15" hidden="false" customHeight="false" outlineLevel="0" collapsed="false">
      <c r="B8" s="3" t="s">
        <v>7</v>
      </c>
      <c r="C8" s="4" t="n">
        <f aca="false">AVERAGE('Team Game Log'!Q5:Q9)</f>
        <v>15.4</v>
      </c>
    </row>
    <row r="9" customFormat="false" ht="15" hidden="false" customHeight="false" outlineLevel="0" collapsed="false">
      <c r="B9" s="3" t="s">
        <v>8</v>
      </c>
      <c r="C9" s="5" t="n">
        <f aca="false">SUM('Team Game Log'!I5:I9)/SUM('Team Game Log'!J5:J9)</f>
        <v>0.314814814814815</v>
      </c>
    </row>
    <row r="11" customFormat="false" ht="15" hidden="false" customHeight="false" outlineLevel="0" collapsed="false">
      <c r="B11" s="6" t="s">
        <v>9</v>
      </c>
    </row>
    <row r="12" customFormat="false" ht="23.85" hidden="false" customHeight="false" outlineLevel="0" collapsed="false">
      <c r="A12" s="3" t="n">
        <v>1</v>
      </c>
      <c r="B12" s="7" t="s">
        <v>10</v>
      </c>
      <c r="C12" s="8" t="s">
        <v>11</v>
      </c>
    </row>
    <row r="13" customFormat="false" ht="15" hidden="false" customHeight="false" outlineLevel="0" collapsed="false">
      <c r="A13" s="3" t="n">
        <v>2</v>
      </c>
      <c r="B13" s="7" t="s">
        <v>12</v>
      </c>
      <c r="C13" s="8" t="s">
        <v>13</v>
      </c>
    </row>
    <row r="14" customFormat="false" ht="15" hidden="false" customHeight="false" outlineLevel="0" collapsed="false">
      <c r="A14" s="3" t="n">
        <v>3</v>
      </c>
      <c r="B14" s="7" t="s">
        <v>14</v>
      </c>
      <c r="C14" s="8" t="s">
        <v>15</v>
      </c>
    </row>
    <row r="15" customFormat="false" ht="15" hidden="false" customHeight="false" outlineLevel="0" collapsed="false">
      <c r="A15" s="3" t="n">
        <v>4</v>
      </c>
      <c r="B15" s="7" t="s">
        <v>16</v>
      </c>
      <c r="C15" s="8" t="s">
        <v>17</v>
      </c>
    </row>
    <row r="16" customFormat="false" ht="15" hidden="false" customHeight="false" outlineLevel="0" collapsed="false">
      <c r="A16" s="3" t="n">
        <v>5</v>
      </c>
      <c r="B16" s="7" t="s">
        <v>18</v>
      </c>
      <c r="C16" s="8" t="s">
        <v>19</v>
      </c>
    </row>
    <row r="17" customFormat="false" ht="15" hidden="false" customHeight="false" outlineLevel="0" collapsed="false">
      <c r="A17" s="3" t="n">
        <v>6</v>
      </c>
      <c r="B17" s="7" t="s">
        <v>20</v>
      </c>
      <c r="C17" s="8" t="s">
        <v>21</v>
      </c>
    </row>
    <row r="18" customFormat="false" ht="15" hidden="false" customHeight="false" outlineLevel="0" collapsed="false">
      <c r="A18" s="3" t="n">
        <v>7</v>
      </c>
      <c r="B18" s="7" t="s">
        <v>22</v>
      </c>
      <c r="C18" s="8" t="s">
        <v>23</v>
      </c>
    </row>
    <row r="19" customFormat="false" ht="15" hidden="false" customHeight="false" outlineLevel="0" collapsed="false">
      <c r="A19" s="3" t="n">
        <v>8</v>
      </c>
      <c r="B19" s="7" t="s">
        <v>24</v>
      </c>
      <c r="C19" s="8" t="s">
        <v>25</v>
      </c>
    </row>
    <row r="20" customFormat="false" ht="23.85" hidden="false" customHeight="false" outlineLevel="0" collapsed="false">
      <c r="A20" s="3" t="n">
        <v>9</v>
      </c>
      <c r="B20" s="7" t="s">
        <v>26</v>
      </c>
      <c r="C20" s="8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5"/>
    <col collapsed="false" customWidth="true" hidden="false" outlineLevel="0" max="6" min="6" style="0" width="20"/>
    <col collapsed="false" customWidth="true" hidden="false" outlineLevel="0" max="7" min="7" style="0" width="7"/>
    <col collapsed="false" customWidth="true" hidden="false" outlineLevel="0" max="13" min="8" style="0" width="6"/>
    <col collapsed="false" customWidth="true" hidden="false" outlineLevel="0" max="16" min="14" style="0" width="7"/>
    <col collapsed="false" customWidth="true" hidden="false" outlineLevel="0" max="22" min="17" style="0" width="6"/>
    <col collapsed="false" customWidth="true" hidden="false" outlineLevel="0" max="23" min="23" style="0" width="8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30" hidden="false" customHeight="true" outlineLevel="0" collapsed="false">
      <c r="A4" s="9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  <c r="I4" s="9" t="s">
        <v>38</v>
      </c>
      <c r="J4" s="9" t="s">
        <v>39</v>
      </c>
      <c r="K4" s="9" t="s">
        <v>40</v>
      </c>
      <c r="L4" s="9" t="s">
        <v>41</v>
      </c>
      <c r="M4" s="9" t="s">
        <v>42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51</v>
      </c>
      <c r="W4" s="9" t="s">
        <v>52</v>
      </c>
    </row>
    <row r="5" customFormat="false" ht="15" hidden="false" customHeight="false" outlineLevel="0" collapsed="false">
      <c r="A5" s="10" t="s">
        <v>53</v>
      </c>
      <c r="B5" s="10" t="s">
        <v>54</v>
      </c>
      <c r="C5" s="10" t="s">
        <v>55</v>
      </c>
      <c r="D5" s="10" t="s">
        <v>56</v>
      </c>
      <c r="E5" s="10" t="n">
        <v>6</v>
      </c>
      <c r="F5" s="10" t="s">
        <v>57</v>
      </c>
      <c r="G5" s="11" t="n">
        <v>14.9</v>
      </c>
      <c r="H5" s="10" t="n">
        <v>4</v>
      </c>
      <c r="I5" s="10" t="n">
        <v>7</v>
      </c>
      <c r="J5" s="10" t="n">
        <v>2</v>
      </c>
      <c r="K5" s="10" t="n">
        <v>3</v>
      </c>
      <c r="L5" s="10" t="n">
        <v>0</v>
      </c>
      <c r="M5" s="10" t="n">
        <v>0</v>
      </c>
      <c r="N5" s="10" t="n">
        <v>0</v>
      </c>
      <c r="O5" s="10" t="n">
        <v>2</v>
      </c>
      <c r="P5" s="12" t="n">
        <f aca="false">N5+O5</f>
        <v>2</v>
      </c>
      <c r="Q5" s="10" t="n">
        <v>0</v>
      </c>
      <c r="R5" s="10" t="n">
        <v>1</v>
      </c>
      <c r="S5" s="10" t="n">
        <v>2</v>
      </c>
      <c r="T5" s="10" t="n">
        <v>1</v>
      </c>
      <c r="U5" s="10" t="n">
        <v>5</v>
      </c>
      <c r="V5" s="10" t="n">
        <v>10</v>
      </c>
      <c r="W5" s="10" t="s">
        <v>58</v>
      </c>
    </row>
    <row r="6" customFormat="false" ht="15" hidden="false" customHeight="false" outlineLevel="0" collapsed="false">
      <c r="A6" s="10" t="s">
        <v>53</v>
      </c>
      <c r="B6" s="10" t="s">
        <v>54</v>
      </c>
      <c r="C6" s="10" t="s">
        <v>55</v>
      </c>
      <c r="D6" s="10" t="s">
        <v>56</v>
      </c>
      <c r="E6" s="10" t="n">
        <v>7</v>
      </c>
      <c r="F6" s="10" t="s">
        <v>59</v>
      </c>
      <c r="G6" s="11" t="n">
        <v>17.53</v>
      </c>
      <c r="H6" s="10" t="n">
        <v>2</v>
      </c>
      <c r="I6" s="10" t="n">
        <v>5</v>
      </c>
      <c r="J6" s="10" t="n">
        <v>0</v>
      </c>
      <c r="K6" s="10" t="n">
        <v>1</v>
      </c>
      <c r="L6" s="10" t="n">
        <v>1</v>
      </c>
      <c r="M6" s="10" t="n">
        <v>2</v>
      </c>
      <c r="N6" s="10" t="n">
        <v>2</v>
      </c>
      <c r="O6" s="10" t="n">
        <v>0</v>
      </c>
      <c r="P6" s="12" t="n">
        <f aca="false">N6+O6</f>
        <v>2</v>
      </c>
      <c r="Q6" s="10" t="n">
        <v>3</v>
      </c>
      <c r="R6" s="10" t="n">
        <v>2</v>
      </c>
      <c r="S6" s="10" t="n">
        <v>1</v>
      </c>
      <c r="T6" s="10" t="n">
        <v>0</v>
      </c>
      <c r="U6" s="10" t="n">
        <v>2</v>
      </c>
      <c r="V6" s="10" t="n">
        <v>5</v>
      </c>
      <c r="W6" s="10" t="s">
        <v>58</v>
      </c>
    </row>
    <row r="7" customFormat="false" ht="15" hidden="false" customHeight="false" outlineLevel="0" collapsed="false">
      <c r="A7" s="10" t="s">
        <v>53</v>
      </c>
      <c r="B7" s="10" t="s">
        <v>54</v>
      </c>
      <c r="C7" s="10" t="s">
        <v>55</v>
      </c>
      <c r="D7" s="10" t="s">
        <v>56</v>
      </c>
      <c r="E7" s="10" t="n">
        <v>14</v>
      </c>
      <c r="F7" s="10" t="s">
        <v>60</v>
      </c>
      <c r="G7" s="11" t="n">
        <v>21.98</v>
      </c>
      <c r="H7" s="10" t="n">
        <v>4</v>
      </c>
      <c r="I7" s="10" t="n">
        <v>9</v>
      </c>
      <c r="J7" s="10" t="n">
        <v>1</v>
      </c>
      <c r="K7" s="10" t="n">
        <v>4</v>
      </c>
      <c r="L7" s="10" t="n">
        <v>0</v>
      </c>
      <c r="M7" s="10" t="n">
        <v>0</v>
      </c>
      <c r="N7" s="10" t="n">
        <v>1</v>
      </c>
      <c r="O7" s="10" t="n">
        <v>6</v>
      </c>
      <c r="P7" s="12" t="n">
        <f aca="false">N7+O7</f>
        <v>7</v>
      </c>
      <c r="Q7" s="10" t="n">
        <v>3</v>
      </c>
      <c r="R7" s="10" t="n">
        <v>0</v>
      </c>
      <c r="S7" s="10" t="n">
        <v>2</v>
      </c>
      <c r="T7" s="10" t="n">
        <v>0</v>
      </c>
      <c r="U7" s="10" t="n">
        <v>3</v>
      </c>
      <c r="V7" s="10" t="n">
        <v>9</v>
      </c>
      <c r="W7" s="10" t="s">
        <v>58</v>
      </c>
    </row>
    <row r="8" customFormat="false" ht="15" hidden="false" customHeight="false" outlineLevel="0" collapsed="false">
      <c r="A8" s="10" t="s">
        <v>53</v>
      </c>
      <c r="B8" s="10" t="s">
        <v>54</v>
      </c>
      <c r="C8" s="10" t="s">
        <v>55</v>
      </c>
      <c r="D8" s="10" t="s">
        <v>56</v>
      </c>
      <c r="E8" s="10" t="n">
        <v>23</v>
      </c>
      <c r="F8" s="10" t="s">
        <v>61</v>
      </c>
      <c r="G8" s="11" t="n">
        <v>18.13</v>
      </c>
      <c r="H8" s="10" t="n">
        <v>1</v>
      </c>
      <c r="I8" s="10" t="n">
        <v>3</v>
      </c>
      <c r="J8" s="10" t="n">
        <v>0</v>
      </c>
      <c r="K8" s="10" t="n">
        <v>0</v>
      </c>
      <c r="L8" s="10" t="n">
        <v>1</v>
      </c>
      <c r="M8" s="10" t="n">
        <v>2</v>
      </c>
      <c r="N8" s="10" t="n">
        <v>1</v>
      </c>
      <c r="O8" s="10" t="n">
        <v>6</v>
      </c>
      <c r="P8" s="12" t="n">
        <f aca="false">N8+O8</f>
        <v>7</v>
      </c>
      <c r="Q8" s="10" t="n">
        <v>1</v>
      </c>
      <c r="R8" s="10" t="n">
        <v>0</v>
      </c>
      <c r="S8" s="10" t="n">
        <v>0</v>
      </c>
      <c r="T8" s="10" t="n">
        <v>1</v>
      </c>
      <c r="U8" s="10" t="n">
        <v>0</v>
      </c>
      <c r="V8" s="10" t="n">
        <v>3</v>
      </c>
      <c r="W8" s="10" t="s">
        <v>58</v>
      </c>
    </row>
    <row r="9" customFormat="false" ht="15" hidden="false" customHeight="false" outlineLevel="0" collapsed="false">
      <c r="A9" s="10" t="s">
        <v>53</v>
      </c>
      <c r="B9" s="10" t="s">
        <v>54</v>
      </c>
      <c r="C9" s="10" t="s">
        <v>55</v>
      </c>
      <c r="D9" s="10" t="s">
        <v>56</v>
      </c>
      <c r="E9" s="10" t="n">
        <v>77</v>
      </c>
      <c r="F9" s="10" t="s">
        <v>62</v>
      </c>
      <c r="G9" s="11" t="n">
        <v>20.58</v>
      </c>
      <c r="H9" s="10" t="n">
        <v>6</v>
      </c>
      <c r="I9" s="10" t="n">
        <v>16</v>
      </c>
      <c r="J9" s="10" t="n">
        <v>1</v>
      </c>
      <c r="K9" s="10" t="n">
        <v>6</v>
      </c>
      <c r="L9" s="10" t="n">
        <v>1</v>
      </c>
      <c r="M9" s="10" t="n">
        <v>2</v>
      </c>
      <c r="N9" s="10" t="n">
        <v>3</v>
      </c>
      <c r="O9" s="10" t="n">
        <v>3</v>
      </c>
      <c r="P9" s="12" t="n">
        <f aca="false">N9+O9</f>
        <v>6</v>
      </c>
      <c r="Q9" s="10" t="n">
        <v>2</v>
      </c>
      <c r="R9" s="10" t="n">
        <v>1</v>
      </c>
      <c r="S9" s="10" t="n">
        <v>1</v>
      </c>
      <c r="T9" s="10" t="n">
        <v>1</v>
      </c>
      <c r="U9" s="10" t="n">
        <v>4</v>
      </c>
      <c r="V9" s="10" t="n">
        <v>14</v>
      </c>
      <c r="W9" s="10" t="s">
        <v>58</v>
      </c>
    </row>
    <row r="10" customFormat="false" ht="15" hidden="false" customHeight="false" outlineLevel="0" collapsed="false">
      <c r="A10" s="10" t="s">
        <v>53</v>
      </c>
      <c r="B10" s="10" t="s">
        <v>54</v>
      </c>
      <c r="C10" s="10" t="s">
        <v>55</v>
      </c>
      <c r="D10" s="10" t="s">
        <v>56</v>
      </c>
      <c r="E10" s="10" t="n">
        <v>11</v>
      </c>
      <c r="F10" s="10" t="s">
        <v>63</v>
      </c>
      <c r="G10" s="11" t="n">
        <v>21.87</v>
      </c>
      <c r="H10" s="10" t="n">
        <v>4</v>
      </c>
      <c r="I10" s="10" t="n">
        <v>5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2</v>
      </c>
      <c r="O10" s="10" t="n">
        <v>5</v>
      </c>
      <c r="P10" s="12" t="n">
        <f aca="false">N10+O10</f>
        <v>7</v>
      </c>
      <c r="Q10" s="10" t="n">
        <v>2</v>
      </c>
      <c r="R10" s="10" t="n">
        <v>1</v>
      </c>
      <c r="S10" s="10" t="n">
        <v>3</v>
      </c>
      <c r="T10" s="10" t="n">
        <v>0</v>
      </c>
      <c r="U10" s="10" t="n">
        <v>4</v>
      </c>
      <c r="V10" s="10" t="n">
        <v>8</v>
      </c>
      <c r="W10" s="10" t="s">
        <v>58</v>
      </c>
    </row>
    <row r="11" customFormat="false" ht="15" hidden="false" customHeight="false" outlineLevel="0" collapsed="false">
      <c r="A11" s="10" t="s">
        <v>53</v>
      </c>
      <c r="B11" s="10" t="s">
        <v>54</v>
      </c>
      <c r="C11" s="10" t="s">
        <v>55</v>
      </c>
      <c r="D11" s="10" t="s">
        <v>56</v>
      </c>
      <c r="E11" s="10" t="n">
        <v>0</v>
      </c>
      <c r="F11" s="10" t="s">
        <v>64</v>
      </c>
      <c r="G11" s="11" t="n">
        <v>20.18</v>
      </c>
      <c r="H11" s="10" t="n">
        <v>5</v>
      </c>
      <c r="I11" s="10" t="n">
        <v>11</v>
      </c>
      <c r="J11" s="10" t="n">
        <v>2</v>
      </c>
      <c r="K11" s="10" t="n">
        <v>8</v>
      </c>
      <c r="L11" s="10" t="n">
        <v>1</v>
      </c>
      <c r="M11" s="10" t="n">
        <v>2</v>
      </c>
      <c r="N11" s="10" t="n">
        <v>1</v>
      </c>
      <c r="O11" s="10" t="n">
        <v>6</v>
      </c>
      <c r="P11" s="12" t="n">
        <f aca="false">N11+O11</f>
        <v>7</v>
      </c>
      <c r="Q11" s="10" t="n">
        <v>6</v>
      </c>
      <c r="R11" s="10" t="n">
        <v>4</v>
      </c>
      <c r="S11" s="10" t="n">
        <v>1</v>
      </c>
      <c r="T11" s="10" t="n">
        <v>0</v>
      </c>
      <c r="U11" s="10" t="n">
        <v>2</v>
      </c>
      <c r="V11" s="10" t="n">
        <v>13</v>
      </c>
      <c r="W11" s="10" t="s">
        <v>58</v>
      </c>
    </row>
    <row r="12" customFormat="false" ht="15" hidden="false" customHeight="false" outlineLevel="0" collapsed="false">
      <c r="A12" s="10" t="s">
        <v>53</v>
      </c>
      <c r="B12" s="10" t="s">
        <v>54</v>
      </c>
      <c r="C12" s="10" t="s">
        <v>55</v>
      </c>
      <c r="D12" s="10" t="s">
        <v>56</v>
      </c>
      <c r="E12" s="10" t="n">
        <v>2</v>
      </c>
      <c r="F12" s="10" t="s">
        <v>65</v>
      </c>
      <c r="G12" s="11" t="n">
        <v>20.37</v>
      </c>
      <c r="H12" s="10" t="n">
        <v>7</v>
      </c>
      <c r="I12" s="10" t="n">
        <v>8</v>
      </c>
      <c r="J12" s="10" t="n">
        <v>5</v>
      </c>
      <c r="K12" s="10" t="n">
        <v>5</v>
      </c>
      <c r="L12" s="10" t="n">
        <v>2</v>
      </c>
      <c r="M12" s="10" t="n">
        <v>2</v>
      </c>
      <c r="N12" s="10" t="n">
        <v>0</v>
      </c>
      <c r="O12" s="10" t="n">
        <v>1</v>
      </c>
      <c r="P12" s="12" t="n">
        <f aca="false">N12+O12</f>
        <v>1</v>
      </c>
      <c r="Q12" s="10" t="n">
        <v>4</v>
      </c>
      <c r="R12" s="10" t="n">
        <v>1</v>
      </c>
      <c r="S12" s="10" t="n">
        <v>4</v>
      </c>
      <c r="T12" s="10" t="n">
        <v>0</v>
      </c>
      <c r="U12" s="10" t="n">
        <v>2</v>
      </c>
      <c r="V12" s="10" t="n">
        <v>21</v>
      </c>
      <c r="W12" s="10" t="s">
        <v>58</v>
      </c>
    </row>
    <row r="13" customFormat="false" ht="15" hidden="false" customHeight="false" outlineLevel="0" collapsed="false">
      <c r="A13" s="10" t="s">
        <v>53</v>
      </c>
      <c r="B13" s="10" t="s">
        <v>54</v>
      </c>
      <c r="C13" s="10" t="s">
        <v>55</v>
      </c>
      <c r="D13" s="10" t="s">
        <v>56</v>
      </c>
      <c r="E13" s="10" t="n">
        <v>34</v>
      </c>
      <c r="F13" s="10" t="s">
        <v>66</v>
      </c>
      <c r="G13" s="11" t="n">
        <v>19.53</v>
      </c>
      <c r="H13" s="10" t="n">
        <v>3</v>
      </c>
      <c r="I13" s="10" t="n">
        <v>9</v>
      </c>
      <c r="J13" s="10" t="n">
        <v>1</v>
      </c>
      <c r="K13" s="10" t="n">
        <v>7</v>
      </c>
      <c r="L13" s="10" t="n">
        <v>2</v>
      </c>
      <c r="M13" s="10" t="n">
        <v>2</v>
      </c>
      <c r="N13" s="10" t="n">
        <v>1</v>
      </c>
      <c r="O13" s="10" t="n">
        <v>1</v>
      </c>
      <c r="P13" s="12" t="n">
        <f aca="false">N13+O13</f>
        <v>2</v>
      </c>
      <c r="Q13" s="10" t="n">
        <v>2</v>
      </c>
      <c r="R13" s="10" t="n">
        <v>1</v>
      </c>
      <c r="S13" s="10" t="n">
        <v>1</v>
      </c>
      <c r="T13" s="10" t="n">
        <v>0</v>
      </c>
      <c r="U13" s="10" t="n">
        <v>1</v>
      </c>
      <c r="V13" s="10" t="n">
        <v>9</v>
      </c>
      <c r="W13" s="10" t="s">
        <v>58</v>
      </c>
    </row>
    <row r="14" customFormat="false" ht="15" hidden="false" customHeight="false" outlineLevel="0" collapsed="false">
      <c r="A14" s="10" t="s">
        <v>53</v>
      </c>
      <c r="B14" s="10" t="s">
        <v>54</v>
      </c>
      <c r="C14" s="10" t="s">
        <v>55</v>
      </c>
      <c r="D14" s="10" t="s">
        <v>56</v>
      </c>
      <c r="E14" s="10" t="n">
        <v>4</v>
      </c>
      <c r="F14" s="10" t="s">
        <v>67</v>
      </c>
      <c r="G14" s="11" t="n">
        <v>18.8</v>
      </c>
      <c r="H14" s="10" t="n">
        <v>1</v>
      </c>
      <c r="I14" s="10" t="n">
        <v>6</v>
      </c>
      <c r="J14" s="10" t="n">
        <v>1</v>
      </c>
      <c r="K14" s="10" t="n">
        <v>5</v>
      </c>
      <c r="L14" s="10" t="n">
        <v>0</v>
      </c>
      <c r="M14" s="10" t="n">
        <v>0</v>
      </c>
      <c r="N14" s="10" t="n">
        <v>1</v>
      </c>
      <c r="O14" s="10" t="n">
        <v>3</v>
      </c>
      <c r="P14" s="12" t="n">
        <f aca="false">N14+O14</f>
        <v>4</v>
      </c>
      <c r="Q14" s="10" t="n">
        <v>3</v>
      </c>
      <c r="R14" s="10" t="n">
        <v>1</v>
      </c>
      <c r="S14" s="10" t="n">
        <v>2</v>
      </c>
      <c r="T14" s="10" t="n">
        <v>0</v>
      </c>
      <c r="U14" s="10" t="n">
        <v>0</v>
      </c>
      <c r="V14" s="10" t="n">
        <v>3</v>
      </c>
      <c r="W14" s="10" t="s">
        <v>58</v>
      </c>
    </row>
    <row r="15" customFormat="false" ht="15" hidden="false" customHeight="false" outlineLevel="0" collapsed="false">
      <c r="A15" s="10" t="s">
        <v>53</v>
      </c>
      <c r="B15" s="10" t="s">
        <v>54</v>
      </c>
      <c r="C15" s="10" t="s">
        <v>55</v>
      </c>
      <c r="D15" s="10" t="s">
        <v>56</v>
      </c>
      <c r="E15" s="10" t="n">
        <v>13</v>
      </c>
      <c r="F15" s="10" t="s">
        <v>68</v>
      </c>
      <c r="G15" s="11" t="n">
        <v>5.2</v>
      </c>
      <c r="H15" s="10" t="n">
        <v>0</v>
      </c>
      <c r="I15" s="10" t="n">
        <v>2</v>
      </c>
      <c r="J15" s="10" t="n">
        <v>0</v>
      </c>
      <c r="K15" s="10" t="n">
        <v>2</v>
      </c>
      <c r="L15" s="10" t="n">
        <v>0</v>
      </c>
      <c r="M15" s="10" t="n">
        <v>0</v>
      </c>
      <c r="N15" s="10" t="n">
        <v>0</v>
      </c>
      <c r="O15" s="10" t="n">
        <v>0</v>
      </c>
      <c r="P15" s="12" t="n">
        <f aca="false">N15+O15</f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1</v>
      </c>
      <c r="V15" s="10" t="n">
        <v>0</v>
      </c>
      <c r="W15" s="10" t="s">
        <v>58</v>
      </c>
    </row>
    <row r="16" customFormat="false" ht="15" hidden="false" customHeight="false" outlineLevel="0" collapsed="false">
      <c r="A16" s="10" t="s">
        <v>53</v>
      </c>
      <c r="B16" s="10" t="s">
        <v>54</v>
      </c>
      <c r="C16" s="10" t="s">
        <v>55</v>
      </c>
      <c r="D16" s="10" t="s">
        <v>56</v>
      </c>
      <c r="E16" s="10" t="n">
        <v>25</v>
      </c>
      <c r="F16" s="10" t="s">
        <v>69</v>
      </c>
      <c r="G16" s="11" t="n">
        <v>0.92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2" t="n">
        <f aca="false">N16+O16</f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1</v>
      </c>
      <c r="V16" s="10" t="n">
        <v>0</v>
      </c>
      <c r="W16" s="10" t="s">
        <v>58</v>
      </c>
    </row>
    <row r="17" customFormat="false" ht="15" hidden="false" customHeight="false" outlineLevel="0" collapsed="false">
      <c r="A17" s="10" t="s">
        <v>70</v>
      </c>
      <c r="B17" s="10" t="s">
        <v>71</v>
      </c>
      <c r="C17" s="10" t="s">
        <v>55</v>
      </c>
      <c r="D17" s="10" t="s">
        <v>72</v>
      </c>
      <c r="E17" s="10" t="n">
        <v>0</v>
      </c>
      <c r="F17" s="10" t="s">
        <v>64</v>
      </c>
      <c r="G17" s="10"/>
      <c r="H17" s="10" t="n">
        <v>4</v>
      </c>
      <c r="I17" s="10" t="n">
        <v>8</v>
      </c>
      <c r="J17" s="10" t="n">
        <v>0</v>
      </c>
      <c r="K17" s="10" t="n">
        <v>4</v>
      </c>
      <c r="L17" s="10" t="n">
        <v>1</v>
      </c>
      <c r="M17" s="10" t="n">
        <v>3</v>
      </c>
      <c r="N17" s="10" t="n">
        <v>0</v>
      </c>
      <c r="O17" s="10" t="n">
        <v>1</v>
      </c>
      <c r="P17" s="12" t="n">
        <f aca="false">N17+O17</f>
        <v>1</v>
      </c>
      <c r="Q17" s="10" t="n">
        <v>7</v>
      </c>
      <c r="R17" s="10" t="n">
        <v>5</v>
      </c>
      <c r="S17" s="10" t="n">
        <v>3</v>
      </c>
      <c r="T17" s="10" t="n">
        <v>1</v>
      </c>
      <c r="U17" s="10" t="n">
        <v>3</v>
      </c>
      <c r="V17" s="10" t="n">
        <v>9</v>
      </c>
      <c r="W17" s="10" t="s">
        <v>58</v>
      </c>
    </row>
    <row r="18" customFormat="false" ht="15" hidden="false" customHeight="false" outlineLevel="0" collapsed="false">
      <c r="A18" s="10" t="s">
        <v>70</v>
      </c>
      <c r="B18" s="10" t="s">
        <v>71</v>
      </c>
      <c r="C18" s="10" t="s">
        <v>55</v>
      </c>
      <c r="D18" s="10" t="s">
        <v>72</v>
      </c>
      <c r="E18" s="10" t="n">
        <v>2</v>
      </c>
      <c r="F18" s="10" t="s">
        <v>65</v>
      </c>
      <c r="G18" s="10"/>
      <c r="H18" s="10" t="n">
        <v>1</v>
      </c>
      <c r="I18" s="10" t="n">
        <v>7</v>
      </c>
      <c r="J18" s="10" t="n">
        <v>0</v>
      </c>
      <c r="K18" s="10" t="n">
        <v>5</v>
      </c>
      <c r="L18" s="10" t="n">
        <v>0</v>
      </c>
      <c r="M18" s="10" t="n">
        <v>0</v>
      </c>
      <c r="N18" s="10" t="n">
        <v>2</v>
      </c>
      <c r="O18" s="10" t="n">
        <v>3</v>
      </c>
      <c r="P18" s="12" t="n">
        <f aca="false">N18+O18</f>
        <v>5</v>
      </c>
      <c r="Q18" s="10" t="n">
        <v>1</v>
      </c>
      <c r="R18" s="10" t="n">
        <v>1</v>
      </c>
      <c r="S18" s="10" t="n">
        <v>4</v>
      </c>
      <c r="T18" s="10" t="n">
        <v>1</v>
      </c>
      <c r="U18" s="10" t="n">
        <v>2</v>
      </c>
      <c r="V18" s="10" t="n">
        <v>2</v>
      </c>
      <c r="W18" s="10" t="s">
        <v>58</v>
      </c>
    </row>
    <row r="19" customFormat="false" ht="15" hidden="false" customHeight="false" outlineLevel="0" collapsed="false">
      <c r="A19" s="10" t="s">
        <v>70</v>
      </c>
      <c r="B19" s="10" t="s">
        <v>71</v>
      </c>
      <c r="C19" s="10" t="s">
        <v>55</v>
      </c>
      <c r="D19" s="10" t="s">
        <v>72</v>
      </c>
      <c r="E19" s="10" t="n">
        <v>4</v>
      </c>
      <c r="F19" s="10" t="s">
        <v>67</v>
      </c>
      <c r="G19" s="10"/>
      <c r="H19" s="10" t="n">
        <v>3</v>
      </c>
      <c r="I19" s="10" t="n">
        <v>4</v>
      </c>
      <c r="J19" s="10" t="n">
        <v>1</v>
      </c>
      <c r="K19" s="10" t="n">
        <v>2</v>
      </c>
      <c r="L19" s="10" t="n">
        <v>4</v>
      </c>
      <c r="M19" s="10" t="n">
        <v>4</v>
      </c>
      <c r="N19" s="10" t="n">
        <v>1</v>
      </c>
      <c r="O19" s="10" t="n">
        <v>5</v>
      </c>
      <c r="P19" s="12" t="n">
        <f aca="false">N19+O19</f>
        <v>6</v>
      </c>
      <c r="Q19" s="10" t="n">
        <v>2</v>
      </c>
      <c r="R19" s="10" t="n">
        <v>2</v>
      </c>
      <c r="S19" s="10" t="n">
        <v>2</v>
      </c>
      <c r="T19" s="10" t="n">
        <v>0</v>
      </c>
      <c r="U19" s="10" t="n">
        <v>2</v>
      </c>
      <c r="V19" s="10" t="n">
        <v>11</v>
      </c>
      <c r="W19" s="10" t="s">
        <v>58</v>
      </c>
    </row>
    <row r="20" customFormat="false" ht="15" hidden="false" customHeight="false" outlineLevel="0" collapsed="false">
      <c r="A20" s="10" t="s">
        <v>70</v>
      </c>
      <c r="B20" s="10" t="s">
        <v>71</v>
      </c>
      <c r="C20" s="10" t="s">
        <v>55</v>
      </c>
      <c r="D20" s="10" t="s">
        <v>72</v>
      </c>
      <c r="E20" s="10" t="n">
        <v>6</v>
      </c>
      <c r="F20" s="10" t="s">
        <v>57</v>
      </c>
      <c r="G20" s="10"/>
      <c r="H20" s="10" t="n">
        <v>3</v>
      </c>
      <c r="I20" s="10" t="n">
        <v>5</v>
      </c>
      <c r="J20" s="10" t="n">
        <v>1</v>
      </c>
      <c r="K20" s="10" t="n">
        <v>3</v>
      </c>
      <c r="L20" s="10" t="n">
        <v>1</v>
      </c>
      <c r="M20" s="10" t="n">
        <v>2</v>
      </c>
      <c r="N20" s="10" t="n">
        <v>0</v>
      </c>
      <c r="O20" s="10" t="n">
        <v>3</v>
      </c>
      <c r="P20" s="12" t="n">
        <f aca="false">N20+O20</f>
        <v>3</v>
      </c>
      <c r="Q20" s="10" t="n">
        <v>1</v>
      </c>
      <c r="R20" s="10" t="n">
        <v>3</v>
      </c>
      <c r="S20" s="10" t="n">
        <v>1</v>
      </c>
      <c r="T20" s="10" t="n">
        <v>0</v>
      </c>
      <c r="U20" s="10" t="n">
        <v>3</v>
      </c>
      <c r="V20" s="10" t="n">
        <v>8</v>
      </c>
      <c r="W20" s="10" t="s">
        <v>58</v>
      </c>
    </row>
    <row r="21" customFormat="false" ht="15" hidden="false" customHeight="false" outlineLevel="0" collapsed="false">
      <c r="A21" s="10" t="s">
        <v>70</v>
      </c>
      <c r="B21" s="10" t="s">
        <v>71</v>
      </c>
      <c r="C21" s="10" t="s">
        <v>55</v>
      </c>
      <c r="D21" s="10" t="s">
        <v>72</v>
      </c>
      <c r="E21" s="10" t="n">
        <v>7</v>
      </c>
      <c r="F21" s="10" t="s">
        <v>59</v>
      </c>
      <c r="G21" s="10"/>
      <c r="H21" s="10" t="n">
        <v>4</v>
      </c>
      <c r="I21" s="10" t="n">
        <v>5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3</v>
      </c>
      <c r="P21" s="12" t="n">
        <f aca="false">N21+O21</f>
        <v>3</v>
      </c>
      <c r="Q21" s="10" t="n">
        <v>3</v>
      </c>
      <c r="R21" s="10" t="n">
        <v>0</v>
      </c>
      <c r="S21" s="10" t="n">
        <v>2</v>
      </c>
      <c r="T21" s="10" t="n">
        <v>0</v>
      </c>
      <c r="U21" s="10" t="n">
        <v>3</v>
      </c>
      <c r="V21" s="10" t="n">
        <v>8</v>
      </c>
      <c r="W21" s="10" t="s">
        <v>58</v>
      </c>
    </row>
    <row r="22" customFormat="false" ht="15" hidden="false" customHeight="false" outlineLevel="0" collapsed="false">
      <c r="A22" s="10" t="s">
        <v>70</v>
      </c>
      <c r="B22" s="10" t="s">
        <v>71</v>
      </c>
      <c r="C22" s="10" t="s">
        <v>55</v>
      </c>
      <c r="D22" s="10" t="s">
        <v>72</v>
      </c>
      <c r="E22" s="10" t="n">
        <v>11</v>
      </c>
      <c r="F22" s="10" t="s">
        <v>63</v>
      </c>
      <c r="G22" s="10"/>
      <c r="H22" s="10" t="n">
        <v>3</v>
      </c>
      <c r="I22" s="10" t="n">
        <v>6</v>
      </c>
      <c r="J22" s="10" t="n">
        <v>0</v>
      </c>
      <c r="K22" s="10" t="n">
        <v>0</v>
      </c>
      <c r="L22" s="10" t="n">
        <v>2</v>
      </c>
      <c r="M22" s="10" t="n">
        <v>5</v>
      </c>
      <c r="N22" s="10" t="n">
        <v>4</v>
      </c>
      <c r="O22" s="10" t="n">
        <v>3</v>
      </c>
      <c r="P22" s="12" t="n">
        <f aca="false">N22+O22</f>
        <v>7</v>
      </c>
      <c r="Q22" s="10" t="n">
        <v>1</v>
      </c>
      <c r="R22" s="10" t="n">
        <v>2</v>
      </c>
      <c r="S22" s="10" t="n">
        <v>0</v>
      </c>
      <c r="T22" s="10" t="n">
        <v>0</v>
      </c>
      <c r="U22" s="10" t="n">
        <v>7</v>
      </c>
      <c r="V22" s="10" t="n">
        <v>8</v>
      </c>
      <c r="W22" s="10" t="s">
        <v>58</v>
      </c>
    </row>
    <row r="23" customFormat="false" ht="15" hidden="false" customHeight="false" outlineLevel="0" collapsed="false">
      <c r="A23" s="10" t="s">
        <v>70</v>
      </c>
      <c r="B23" s="10" t="s">
        <v>71</v>
      </c>
      <c r="C23" s="10" t="s">
        <v>55</v>
      </c>
      <c r="D23" s="10" t="s">
        <v>72</v>
      </c>
      <c r="E23" s="10" t="n">
        <v>14</v>
      </c>
      <c r="F23" s="10" t="s">
        <v>60</v>
      </c>
      <c r="G23" s="10"/>
      <c r="H23" s="10" t="n">
        <v>2</v>
      </c>
      <c r="I23" s="10" t="n">
        <v>3</v>
      </c>
      <c r="J23" s="10" t="n">
        <v>0</v>
      </c>
      <c r="K23" s="10" t="n">
        <v>0</v>
      </c>
      <c r="L23" s="10" t="n">
        <v>1</v>
      </c>
      <c r="M23" s="10" t="n">
        <v>2</v>
      </c>
      <c r="N23" s="10" t="n">
        <v>1</v>
      </c>
      <c r="O23" s="10" t="n">
        <v>2</v>
      </c>
      <c r="P23" s="12" t="n">
        <f aca="false">N23+O23</f>
        <v>3</v>
      </c>
      <c r="Q23" s="10" t="n">
        <v>0</v>
      </c>
      <c r="R23" s="10" t="n">
        <v>3</v>
      </c>
      <c r="S23" s="10" t="n">
        <v>0</v>
      </c>
      <c r="T23" s="10" t="n">
        <v>0</v>
      </c>
      <c r="U23" s="10" t="n">
        <v>3</v>
      </c>
      <c r="V23" s="10" t="n">
        <v>5</v>
      </c>
      <c r="W23" s="10" t="s">
        <v>58</v>
      </c>
    </row>
    <row r="24" customFormat="false" ht="15" hidden="false" customHeight="false" outlineLevel="0" collapsed="false">
      <c r="A24" s="10" t="s">
        <v>70</v>
      </c>
      <c r="B24" s="10" t="s">
        <v>71</v>
      </c>
      <c r="C24" s="10" t="s">
        <v>55</v>
      </c>
      <c r="D24" s="10" t="s">
        <v>72</v>
      </c>
      <c r="E24" s="10" t="n">
        <v>23</v>
      </c>
      <c r="F24" s="10" t="s">
        <v>61</v>
      </c>
      <c r="G24" s="10"/>
      <c r="H24" s="10" t="n">
        <v>3</v>
      </c>
      <c r="I24" s="10" t="n">
        <v>5</v>
      </c>
      <c r="J24" s="10" t="n">
        <v>0</v>
      </c>
      <c r="K24" s="10" t="n">
        <v>0</v>
      </c>
      <c r="L24" s="10" t="n">
        <v>1</v>
      </c>
      <c r="M24" s="10" t="n">
        <v>4</v>
      </c>
      <c r="N24" s="10" t="n">
        <v>0</v>
      </c>
      <c r="O24" s="10" t="n">
        <v>3</v>
      </c>
      <c r="P24" s="12" t="n">
        <f aca="false">N24+O24</f>
        <v>3</v>
      </c>
      <c r="Q24" s="10" t="n">
        <v>0</v>
      </c>
      <c r="R24" s="10" t="n">
        <v>0</v>
      </c>
      <c r="S24" s="10" t="n">
        <v>2</v>
      </c>
      <c r="T24" s="10" t="n">
        <v>0</v>
      </c>
      <c r="U24" s="10" t="n">
        <v>1</v>
      </c>
      <c r="V24" s="10" t="n">
        <v>7</v>
      </c>
      <c r="W24" s="10" t="s">
        <v>58</v>
      </c>
    </row>
    <row r="25" customFormat="false" ht="15" hidden="false" customHeight="false" outlineLevel="0" collapsed="false">
      <c r="A25" s="10" t="s">
        <v>70</v>
      </c>
      <c r="B25" s="10" t="s">
        <v>71</v>
      </c>
      <c r="C25" s="10" t="s">
        <v>55</v>
      </c>
      <c r="D25" s="10" t="s">
        <v>72</v>
      </c>
      <c r="E25" s="10" t="n">
        <v>34</v>
      </c>
      <c r="F25" s="10" t="s">
        <v>66</v>
      </c>
      <c r="G25" s="10"/>
      <c r="H25" s="10" t="n">
        <v>3</v>
      </c>
      <c r="I25" s="10" t="n">
        <v>6</v>
      </c>
      <c r="J25" s="10" t="n">
        <v>3</v>
      </c>
      <c r="K25" s="10" t="n">
        <v>6</v>
      </c>
      <c r="L25" s="10" t="n">
        <v>0</v>
      </c>
      <c r="M25" s="10" t="n">
        <v>0</v>
      </c>
      <c r="N25" s="10" t="n">
        <v>0</v>
      </c>
      <c r="O25" s="10" t="n">
        <v>1</v>
      </c>
      <c r="P25" s="12" t="n">
        <f aca="false">N25+O25</f>
        <v>1</v>
      </c>
      <c r="Q25" s="10" t="n">
        <v>2</v>
      </c>
      <c r="R25" s="10" t="n">
        <v>1</v>
      </c>
      <c r="S25" s="10" t="n">
        <v>2</v>
      </c>
      <c r="T25" s="10" t="n">
        <v>0</v>
      </c>
      <c r="U25" s="10" t="n">
        <v>1</v>
      </c>
      <c r="V25" s="10" t="n">
        <v>9</v>
      </c>
      <c r="W25" s="10" t="s">
        <v>58</v>
      </c>
    </row>
    <row r="26" customFormat="false" ht="15" hidden="false" customHeight="false" outlineLevel="0" collapsed="false">
      <c r="A26" s="10" t="s">
        <v>70</v>
      </c>
      <c r="B26" s="10" t="s">
        <v>71</v>
      </c>
      <c r="C26" s="10" t="s">
        <v>55</v>
      </c>
      <c r="D26" s="10" t="s">
        <v>72</v>
      </c>
      <c r="E26" s="10" t="n">
        <v>77</v>
      </c>
      <c r="F26" s="10" t="s">
        <v>62</v>
      </c>
      <c r="G26" s="10"/>
      <c r="H26" s="10" t="n">
        <v>7</v>
      </c>
      <c r="I26" s="10" t="n">
        <v>17</v>
      </c>
      <c r="J26" s="10" t="n">
        <v>0</v>
      </c>
      <c r="K26" s="10" t="n">
        <v>8</v>
      </c>
      <c r="L26" s="10" t="n">
        <v>7</v>
      </c>
      <c r="M26" s="10" t="n">
        <v>8</v>
      </c>
      <c r="N26" s="10" t="n">
        <v>0</v>
      </c>
      <c r="O26" s="10" t="n">
        <v>4</v>
      </c>
      <c r="P26" s="12" t="n">
        <f aca="false">N26+O26</f>
        <v>4</v>
      </c>
      <c r="Q26" s="10" t="n">
        <v>4</v>
      </c>
      <c r="R26" s="10" t="n">
        <v>4</v>
      </c>
      <c r="S26" s="10" t="n">
        <v>5</v>
      </c>
      <c r="T26" s="10" t="n">
        <v>1</v>
      </c>
      <c r="U26" s="10" t="n">
        <v>2</v>
      </c>
      <c r="V26" s="10" t="n">
        <v>21</v>
      </c>
      <c r="W26" s="10" t="s">
        <v>58</v>
      </c>
    </row>
    <row r="27" customFormat="false" ht="15" hidden="false" customHeight="false" outlineLevel="0" collapsed="false">
      <c r="A27" s="10" t="s">
        <v>73</v>
      </c>
      <c r="B27" s="10" t="s">
        <v>74</v>
      </c>
      <c r="C27" s="10" t="s">
        <v>55</v>
      </c>
      <c r="D27" s="10" t="s">
        <v>75</v>
      </c>
      <c r="E27" s="10" t="n">
        <v>0</v>
      </c>
      <c r="F27" s="10" t="s">
        <v>64</v>
      </c>
      <c r="G27" s="11" t="n">
        <v>18</v>
      </c>
      <c r="H27" s="10" t="n">
        <v>7</v>
      </c>
      <c r="I27" s="10" t="n">
        <v>12</v>
      </c>
      <c r="J27" s="10" t="n">
        <v>4</v>
      </c>
      <c r="K27" s="10" t="n">
        <v>8</v>
      </c>
      <c r="L27" s="10" t="n">
        <v>0</v>
      </c>
      <c r="M27" s="10" t="n">
        <v>0</v>
      </c>
      <c r="N27" s="10" t="n">
        <v>0</v>
      </c>
      <c r="O27" s="10" t="n">
        <v>3</v>
      </c>
      <c r="P27" s="12" t="n">
        <f aca="false">N27+O27</f>
        <v>3</v>
      </c>
      <c r="Q27" s="10" t="n">
        <v>2</v>
      </c>
      <c r="R27" s="10" t="n">
        <v>3</v>
      </c>
      <c r="S27" s="10" t="n">
        <v>1</v>
      </c>
      <c r="T27" s="10" t="n">
        <v>0</v>
      </c>
      <c r="U27" s="10" t="n">
        <v>0</v>
      </c>
      <c r="V27" s="10" t="n">
        <v>18</v>
      </c>
      <c r="W27" s="10" t="s">
        <v>76</v>
      </c>
    </row>
    <row r="28" customFormat="false" ht="15" hidden="false" customHeight="false" outlineLevel="0" collapsed="false">
      <c r="A28" s="10" t="s">
        <v>73</v>
      </c>
      <c r="B28" s="10" t="s">
        <v>74</v>
      </c>
      <c r="C28" s="10" t="s">
        <v>55</v>
      </c>
      <c r="D28" s="10" t="s">
        <v>75</v>
      </c>
      <c r="E28" s="10" t="n">
        <v>2</v>
      </c>
      <c r="F28" s="10" t="s">
        <v>65</v>
      </c>
      <c r="G28" s="11" t="n">
        <v>19.35</v>
      </c>
      <c r="H28" s="10" t="n">
        <v>6</v>
      </c>
      <c r="I28" s="10" t="n">
        <v>10</v>
      </c>
      <c r="J28" s="10" t="n">
        <v>3</v>
      </c>
      <c r="K28" s="10" t="n">
        <v>6</v>
      </c>
      <c r="L28" s="10" t="n">
        <v>0</v>
      </c>
      <c r="M28" s="10" t="n">
        <v>0</v>
      </c>
      <c r="N28" s="10" t="n">
        <v>2</v>
      </c>
      <c r="O28" s="10" t="n">
        <v>1</v>
      </c>
      <c r="P28" s="12" t="n">
        <f aca="false">N28+O28</f>
        <v>3</v>
      </c>
      <c r="Q28" s="10" t="n">
        <v>3</v>
      </c>
      <c r="R28" s="10" t="n">
        <v>0</v>
      </c>
      <c r="S28" s="10" t="n">
        <v>3</v>
      </c>
      <c r="T28" s="10" t="n">
        <v>0</v>
      </c>
      <c r="U28" s="10" t="n">
        <v>1</v>
      </c>
      <c r="V28" s="10" t="n">
        <v>15</v>
      </c>
      <c r="W28" s="10" t="s">
        <v>77</v>
      </c>
    </row>
    <row r="29" customFormat="false" ht="15" hidden="false" customHeight="false" outlineLevel="0" collapsed="false">
      <c r="A29" s="10" t="s">
        <v>73</v>
      </c>
      <c r="B29" s="10" t="s">
        <v>74</v>
      </c>
      <c r="C29" s="10" t="s">
        <v>55</v>
      </c>
      <c r="D29" s="10" t="s">
        <v>75</v>
      </c>
      <c r="E29" s="10" t="n">
        <v>4</v>
      </c>
      <c r="F29" s="10" t="s">
        <v>67</v>
      </c>
      <c r="G29" s="11" t="n">
        <v>19.92</v>
      </c>
      <c r="H29" s="10" t="n">
        <v>1</v>
      </c>
      <c r="I29" s="10" t="n">
        <v>5</v>
      </c>
      <c r="J29" s="10" t="n">
        <v>1</v>
      </c>
      <c r="K29" s="10" t="n">
        <v>4</v>
      </c>
      <c r="L29" s="10" t="n">
        <v>0</v>
      </c>
      <c r="M29" s="10" t="n">
        <v>0</v>
      </c>
      <c r="N29" s="10" t="n">
        <v>1</v>
      </c>
      <c r="O29" s="10" t="n">
        <v>1</v>
      </c>
      <c r="P29" s="12" t="n">
        <f aca="false">N29+O29</f>
        <v>2</v>
      </c>
      <c r="Q29" s="10" t="n">
        <v>2</v>
      </c>
      <c r="R29" s="10" t="n">
        <v>0</v>
      </c>
      <c r="S29" s="10" t="n">
        <v>2</v>
      </c>
      <c r="T29" s="10" t="n">
        <v>0</v>
      </c>
      <c r="U29" s="10" t="n">
        <v>2</v>
      </c>
      <c r="V29" s="10" t="n">
        <v>3</v>
      </c>
      <c r="W29" s="10" t="s">
        <v>76</v>
      </c>
    </row>
    <row r="30" customFormat="false" ht="15" hidden="false" customHeight="false" outlineLevel="0" collapsed="false">
      <c r="A30" s="10" t="s">
        <v>73</v>
      </c>
      <c r="B30" s="10" t="s">
        <v>74</v>
      </c>
      <c r="C30" s="10" t="s">
        <v>55</v>
      </c>
      <c r="D30" s="10" t="s">
        <v>75</v>
      </c>
      <c r="E30" s="10" t="n">
        <v>6</v>
      </c>
      <c r="F30" s="10" t="s">
        <v>57</v>
      </c>
      <c r="G30" s="11" t="n">
        <v>22.22</v>
      </c>
      <c r="H30" s="10" t="n">
        <v>4</v>
      </c>
      <c r="I30" s="10" t="n">
        <v>9</v>
      </c>
      <c r="J30" s="10" t="n">
        <v>2</v>
      </c>
      <c r="K30" s="10" t="n">
        <v>4</v>
      </c>
      <c r="L30" s="10" t="n">
        <v>3</v>
      </c>
      <c r="M30" s="10" t="n">
        <v>3</v>
      </c>
      <c r="N30" s="10" t="n">
        <v>0</v>
      </c>
      <c r="O30" s="10" t="n">
        <v>4</v>
      </c>
      <c r="P30" s="12" t="n">
        <f aca="false">N30+O30</f>
        <v>4</v>
      </c>
      <c r="Q30" s="10" t="n">
        <v>2</v>
      </c>
      <c r="R30" s="10" t="n">
        <v>2</v>
      </c>
      <c r="S30" s="10" t="n">
        <v>2</v>
      </c>
      <c r="T30" s="10" t="n">
        <v>0</v>
      </c>
      <c r="U30" s="10" t="n">
        <v>3</v>
      </c>
      <c r="V30" s="10" t="n">
        <v>13</v>
      </c>
      <c r="W30" s="10" t="s">
        <v>77</v>
      </c>
    </row>
    <row r="31" customFormat="false" ht="15" hidden="false" customHeight="false" outlineLevel="0" collapsed="false">
      <c r="A31" s="10" t="s">
        <v>73</v>
      </c>
      <c r="B31" s="10" t="s">
        <v>74</v>
      </c>
      <c r="C31" s="10" t="s">
        <v>55</v>
      </c>
      <c r="D31" s="10" t="s">
        <v>75</v>
      </c>
      <c r="E31" s="10" t="n">
        <v>7</v>
      </c>
      <c r="F31" s="10" t="s">
        <v>59</v>
      </c>
      <c r="G31" s="11" t="n">
        <v>17</v>
      </c>
      <c r="H31" s="10" t="n">
        <v>6</v>
      </c>
      <c r="I31" s="10" t="n">
        <v>10</v>
      </c>
      <c r="J31" s="10" t="n">
        <v>1</v>
      </c>
      <c r="K31" s="10" t="n">
        <v>3</v>
      </c>
      <c r="L31" s="10" t="n">
        <v>1</v>
      </c>
      <c r="M31" s="10" t="n">
        <v>1</v>
      </c>
      <c r="N31" s="10" t="n">
        <v>1</v>
      </c>
      <c r="O31" s="10" t="n">
        <v>1</v>
      </c>
      <c r="P31" s="12" t="n">
        <f aca="false">N31+O31</f>
        <v>2</v>
      </c>
      <c r="Q31" s="10" t="n">
        <v>2</v>
      </c>
      <c r="R31" s="10" t="n">
        <v>2</v>
      </c>
      <c r="S31" s="10" t="n">
        <v>2</v>
      </c>
      <c r="T31" s="10" t="n">
        <v>1</v>
      </c>
      <c r="U31" s="10" t="n">
        <v>5</v>
      </c>
      <c r="V31" s="10" t="n">
        <v>14</v>
      </c>
      <c r="W31" s="10" t="s">
        <v>76</v>
      </c>
    </row>
    <row r="32" customFormat="false" ht="15" hidden="false" customHeight="false" outlineLevel="0" collapsed="false">
      <c r="A32" s="10" t="s">
        <v>73</v>
      </c>
      <c r="B32" s="10" t="s">
        <v>74</v>
      </c>
      <c r="C32" s="10" t="s">
        <v>55</v>
      </c>
      <c r="D32" s="10" t="s">
        <v>75</v>
      </c>
      <c r="E32" s="10" t="n">
        <v>11</v>
      </c>
      <c r="F32" s="10" t="s">
        <v>63</v>
      </c>
      <c r="G32" s="11" t="n">
        <v>22.03</v>
      </c>
      <c r="H32" s="10" t="n">
        <v>3</v>
      </c>
      <c r="I32" s="10" t="n">
        <v>4</v>
      </c>
      <c r="J32" s="10" t="n">
        <v>0</v>
      </c>
      <c r="K32" s="10" t="n">
        <v>0</v>
      </c>
      <c r="L32" s="10" t="n">
        <v>1</v>
      </c>
      <c r="M32" s="10" t="n">
        <v>2</v>
      </c>
      <c r="N32" s="10" t="n">
        <v>3</v>
      </c>
      <c r="O32" s="10" t="n">
        <v>5</v>
      </c>
      <c r="P32" s="12" t="n">
        <f aca="false">N32+O32</f>
        <v>8</v>
      </c>
      <c r="Q32" s="10" t="n">
        <v>5</v>
      </c>
      <c r="R32" s="10" t="n">
        <v>3</v>
      </c>
      <c r="S32" s="10" t="n">
        <v>3</v>
      </c>
      <c r="T32" s="10" t="n">
        <v>1</v>
      </c>
      <c r="U32" s="10" t="n">
        <v>9</v>
      </c>
      <c r="V32" s="10" t="n">
        <v>7</v>
      </c>
      <c r="W32" s="10" t="s">
        <v>76</v>
      </c>
    </row>
    <row r="33" customFormat="false" ht="15" hidden="false" customHeight="false" outlineLevel="0" collapsed="false">
      <c r="A33" s="10" t="s">
        <v>73</v>
      </c>
      <c r="B33" s="10" t="s">
        <v>74</v>
      </c>
      <c r="C33" s="10" t="s">
        <v>55</v>
      </c>
      <c r="D33" s="10" t="s">
        <v>75</v>
      </c>
      <c r="E33" s="10" t="n">
        <v>13</v>
      </c>
      <c r="F33" s="10" t="s">
        <v>68</v>
      </c>
      <c r="G33" s="11" t="n">
        <v>3.48</v>
      </c>
      <c r="H33" s="10" t="n">
        <v>0</v>
      </c>
      <c r="I33" s="10" t="n">
        <v>1</v>
      </c>
      <c r="J33" s="10" t="n">
        <v>0</v>
      </c>
      <c r="K33" s="10" t="n">
        <v>1</v>
      </c>
      <c r="L33" s="10" t="n">
        <v>0</v>
      </c>
      <c r="M33" s="10" t="n">
        <v>0</v>
      </c>
      <c r="N33" s="10" t="n">
        <v>0</v>
      </c>
      <c r="O33" s="10" t="n">
        <v>1</v>
      </c>
      <c r="P33" s="12" t="n">
        <f aca="false">N33+O33</f>
        <v>1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s">
        <v>76</v>
      </c>
    </row>
    <row r="34" customFormat="false" ht="15" hidden="false" customHeight="false" outlineLevel="0" collapsed="false">
      <c r="A34" s="10" t="s">
        <v>73</v>
      </c>
      <c r="B34" s="10" t="s">
        <v>74</v>
      </c>
      <c r="C34" s="10" t="s">
        <v>55</v>
      </c>
      <c r="D34" s="10" t="s">
        <v>75</v>
      </c>
      <c r="E34" s="10" t="n">
        <v>14</v>
      </c>
      <c r="F34" s="10" t="s">
        <v>60</v>
      </c>
      <c r="G34" s="11" t="n">
        <v>20.47</v>
      </c>
      <c r="H34" s="10" t="n">
        <v>3</v>
      </c>
      <c r="I34" s="10" t="n">
        <v>5</v>
      </c>
      <c r="J34" s="10" t="n">
        <v>0</v>
      </c>
      <c r="K34" s="10" t="n">
        <v>0</v>
      </c>
      <c r="L34" s="10" t="n">
        <v>3</v>
      </c>
      <c r="M34" s="10" t="n">
        <v>4</v>
      </c>
      <c r="N34" s="10" t="n">
        <v>2</v>
      </c>
      <c r="O34" s="10" t="n">
        <v>3</v>
      </c>
      <c r="P34" s="12" t="n">
        <f aca="false">N34+O34</f>
        <v>5</v>
      </c>
      <c r="Q34" s="10" t="n">
        <v>1</v>
      </c>
      <c r="R34" s="10" t="n">
        <v>0</v>
      </c>
      <c r="S34" s="10" t="n">
        <v>1</v>
      </c>
      <c r="T34" s="10" t="n">
        <v>0</v>
      </c>
      <c r="U34" s="10" t="n">
        <v>1</v>
      </c>
      <c r="V34" s="10" t="n">
        <v>9</v>
      </c>
      <c r="W34" s="10" t="s">
        <v>77</v>
      </c>
    </row>
    <row r="35" customFormat="false" ht="15" hidden="false" customHeight="false" outlineLevel="0" collapsed="false">
      <c r="A35" s="10" t="s">
        <v>73</v>
      </c>
      <c r="B35" s="10" t="s">
        <v>74</v>
      </c>
      <c r="C35" s="10" t="s">
        <v>55</v>
      </c>
      <c r="D35" s="10" t="s">
        <v>75</v>
      </c>
      <c r="E35" s="10" t="n">
        <v>23</v>
      </c>
      <c r="F35" s="10" t="s">
        <v>61</v>
      </c>
      <c r="G35" s="11" t="n">
        <v>17.97</v>
      </c>
      <c r="H35" s="10" t="n">
        <v>1</v>
      </c>
      <c r="I35" s="10" t="n">
        <v>3</v>
      </c>
      <c r="J35" s="10" t="n">
        <v>0</v>
      </c>
      <c r="K35" s="10" t="n">
        <v>1</v>
      </c>
      <c r="L35" s="10" t="n">
        <v>0</v>
      </c>
      <c r="M35" s="10" t="n">
        <v>0</v>
      </c>
      <c r="N35" s="10" t="n">
        <v>1</v>
      </c>
      <c r="O35" s="10" t="n">
        <v>5</v>
      </c>
      <c r="P35" s="12" t="n">
        <f aca="false">N35+O35</f>
        <v>6</v>
      </c>
      <c r="Q35" s="10" t="n">
        <v>2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2</v>
      </c>
      <c r="W35" s="10" t="s">
        <v>77</v>
      </c>
    </row>
    <row r="36" customFormat="false" ht="15" hidden="false" customHeight="false" outlineLevel="0" collapsed="false">
      <c r="A36" s="10" t="s">
        <v>73</v>
      </c>
      <c r="B36" s="10" t="s">
        <v>74</v>
      </c>
      <c r="C36" s="10" t="s">
        <v>55</v>
      </c>
      <c r="D36" s="10" t="s">
        <v>75</v>
      </c>
      <c r="E36" s="10" t="n">
        <v>25</v>
      </c>
      <c r="F36" s="10" t="s">
        <v>69</v>
      </c>
      <c r="G36" s="11" t="n">
        <v>1.48</v>
      </c>
      <c r="H36" s="10" t="n">
        <v>0</v>
      </c>
      <c r="I36" s="10" t="n">
        <v>1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2" t="n">
        <f aca="false">N36+O36</f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s">
        <v>76</v>
      </c>
    </row>
    <row r="37" customFormat="false" ht="15" hidden="false" customHeight="false" outlineLevel="0" collapsed="false">
      <c r="A37" s="10" t="s">
        <v>73</v>
      </c>
      <c r="B37" s="10" t="s">
        <v>74</v>
      </c>
      <c r="C37" s="10" t="s">
        <v>55</v>
      </c>
      <c r="D37" s="10" t="s">
        <v>75</v>
      </c>
      <c r="E37" s="10" t="n">
        <v>34</v>
      </c>
      <c r="F37" s="10" t="s">
        <v>66</v>
      </c>
      <c r="G37" s="11" t="n">
        <v>15.22</v>
      </c>
      <c r="H37" s="10" t="n">
        <v>2</v>
      </c>
      <c r="I37" s="10" t="n">
        <v>9</v>
      </c>
      <c r="J37" s="10" t="n">
        <v>1</v>
      </c>
      <c r="K37" s="10" t="n">
        <v>6</v>
      </c>
      <c r="L37" s="10" t="n">
        <v>0</v>
      </c>
      <c r="M37" s="10" t="n">
        <v>0</v>
      </c>
      <c r="N37" s="10" t="n">
        <v>3</v>
      </c>
      <c r="O37" s="10" t="n">
        <v>1</v>
      </c>
      <c r="P37" s="12" t="n">
        <f aca="false">N37+O37</f>
        <v>4</v>
      </c>
      <c r="Q37" s="10" t="n">
        <v>4</v>
      </c>
      <c r="R37" s="10" t="n">
        <v>0</v>
      </c>
      <c r="S37" s="10" t="n">
        <v>3</v>
      </c>
      <c r="T37" s="10" t="n">
        <v>0</v>
      </c>
      <c r="U37" s="10" t="n">
        <v>0</v>
      </c>
      <c r="V37" s="10" t="n">
        <v>5</v>
      </c>
      <c r="W37" s="10" t="s">
        <v>76</v>
      </c>
    </row>
    <row r="38" customFormat="false" ht="15" hidden="false" customHeight="false" outlineLevel="0" collapsed="false">
      <c r="A38" s="10" t="s">
        <v>73</v>
      </c>
      <c r="B38" s="10" t="s">
        <v>74</v>
      </c>
      <c r="C38" s="10" t="s">
        <v>55</v>
      </c>
      <c r="D38" s="10" t="s">
        <v>75</v>
      </c>
      <c r="E38" s="10" t="n">
        <v>77</v>
      </c>
      <c r="F38" s="10" t="s">
        <v>62</v>
      </c>
      <c r="G38" s="11" t="n">
        <v>22.87</v>
      </c>
      <c r="H38" s="10" t="n">
        <v>9</v>
      </c>
      <c r="I38" s="10" t="n">
        <v>17</v>
      </c>
      <c r="J38" s="10" t="n">
        <v>2</v>
      </c>
      <c r="K38" s="10" t="n">
        <v>6</v>
      </c>
      <c r="L38" s="10" t="n">
        <v>4</v>
      </c>
      <c r="M38" s="10" t="n">
        <v>4</v>
      </c>
      <c r="N38" s="10" t="n">
        <v>3</v>
      </c>
      <c r="O38" s="10" t="n">
        <v>1</v>
      </c>
      <c r="P38" s="12" t="n">
        <f aca="false">N38+O38</f>
        <v>4</v>
      </c>
      <c r="Q38" s="10" t="n">
        <v>2</v>
      </c>
      <c r="R38" s="10" t="n">
        <v>1</v>
      </c>
      <c r="S38" s="10" t="n">
        <v>2</v>
      </c>
      <c r="T38" s="10" t="n">
        <v>0</v>
      </c>
      <c r="U38" s="10" t="n">
        <v>2</v>
      </c>
      <c r="V38" s="10" t="n">
        <v>24</v>
      </c>
      <c r="W38" s="10" t="s">
        <v>77</v>
      </c>
    </row>
    <row r="39" customFormat="false" ht="15" hidden="false" customHeight="false" outlineLevel="0" collapsed="false">
      <c r="A39" s="10" t="s">
        <v>78</v>
      </c>
      <c r="B39" s="10" t="s">
        <v>79</v>
      </c>
      <c r="C39" s="10" t="s">
        <v>80</v>
      </c>
      <c r="D39" s="10" t="s">
        <v>81</v>
      </c>
      <c r="E39" s="10" t="n">
        <v>77</v>
      </c>
      <c r="F39" s="10" t="s">
        <v>62</v>
      </c>
      <c r="G39" s="11" t="n">
        <v>31</v>
      </c>
      <c r="H39" s="10" t="n">
        <v>5</v>
      </c>
      <c r="I39" s="10" t="n">
        <v>13</v>
      </c>
      <c r="J39" s="10" t="n">
        <v>1</v>
      </c>
      <c r="K39" s="10" t="n">
        <v>5</v>
      </c>
      <c r="L39" s="10" t="n">
        <v>6</v>
      </c>
      <c r="M39" s="10" t="n">
        <v>7</v>
      </c>
      <c r="N39" s="10" t="n">
        <v>0</v>
      </c>
      <c r="O39" s="10" t="n">
        <v>2</v>
      </c>
      <c r="P39" s="12" t="n">
        <f aca="false">N39+O39</f>
        <v>2</v>
      </c>
      <c r="Q39" s="10" t="n">
        <v>6</v>
      </c>
      <c r="R39" s="10" t="n">
        <v>3</v>
      </c>
      <c r="S39" s="10" t="n">
        <v>1</v>
      </c>
      <c r="T39" s="10" t="n">
        <v>1</v>
      </c>
      <c r="U39" s="10" t="n">
        <v>2</v>
      </c>
      <c r="V39" s="10" t="n">
        <v>17</v>
      </c>
      <c r="W39" s="10" t="s">
        <v>77</v>
      </c>
    </row>
    <row r="40" customFormat="false" ht="15" hidden="false" customHeight="false" outlineLevel="0" collapsed="false">
      <c r="A40" s="10" t="s">
        <v>78</v>
      </c>
      <c r="B40" s="10" t="s">
        <v>79</v>
      </c>
      <c r="C40" s="10" t="s">
        <v>80</v>
      </c>
      <c r="D40" s="10" t="s">
        <v>81</v>
      </c>
      <c r="E40" s="10" t="n">
        <v>34</v>
      </c>
      <c r="F40" s="10" t="s">
        <v>66</v>
      </c>
      <c r="G40" s="11" t="n">
        <v>17</v>
      </c>
      <c r="H40" s="10" t="n">
        <v>5</v>
      </c>
      <c r="I40" s="10" t="n">
        <v>8</v>
      </c>
      <c r="J40" s="10" t="n">
        <v>4</v>
      </c>
      <c r="K40" s="10" t="n">
        <v>7</v>
      </c>
      <c r="L40" s="10" t="n">
        <v>2</v>
      </c>
      <c r="M40" s="10" t="n">
        <v>3</v>
      </c>
      <c r="N40" s="10" t="n">
        <v>1</v>
      </c>
      <c r="O40" s="10" t="n">
        <v>3</v>
      </c>
      <c r="P40" s="12" t="n">
        <f aca="false">N40+O40</f>
        <v>4</v>
      </c>
      <c r="Q40" s="10" t="n">
        <v>0</v>
      </c>
      <c r="R40" s="10" t="n">
        <v>1</v>
      </c>
      <c r="S40" s="10" t="n">
        <v>0</v>
      </c>
      <c r="T40" s="10" t="n">
        <v>0</v>
      </c>
      <c r="U40" s="10" t="n">
        <v>1</v>
      </c>
      <c r="V40" s="10" t="n">
        <v>16</v>
      </c>
      <c r="W40" s="10" t="s">
        <v>77</v>
      </c>
    </row>
    <row r="41" customFormat="false" ht="15" hidden="false" customHeight="false" outlineLevel="0" collapsed="false">
      <c r="A41" s="10" t="s">
        <v>78</v>
      </c>
      <c r="B41" s="10" t="s">
        <v>79</v>
      </c>
      <c r="C41" s="10" t="s">
        <v>80</v>
      </c>
      <c r="D41" s="10" t="s">
        <v>81</v>
      </c>
      <c r="E41" s="10" t="n">
        <v>8</v>
      </c>
      <c r="F41" s="10" t="s">
        <v>82</v>
      </c>
      <c r="G41" s="11" t="n">
        <v>21</v>
      </c>
      <c r="H41" s="10" t="n">
        <v>3</v>
      </c>
      <c r="I41" s="10" t="n">
        <v>6</v>
      </c>
      <c r="J41" s="10" t="n">
        <v>1</v>
      </c>
      <c r="K41" s="10" t="n">
        <v>2</v>
      </c>
      <c r="L41" s="10" t="n">
        <v>5</v>
      </c>
      <c r="M41" s="10" t="n">
        <v>6</v>
      </c>
      <c r="N41" s="10" t="n">
        <v>1</v>
      </c>
      <c r="O41" s="10" t="n">
        <v>5</v>
      </c>
      <c r="P41" s="12" t="n">
        <f aca="false">N41+O41</f>
        <v>6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3</v>
      </c>
      <c r="V41" s="10" t="n">
        <v>12</v>
      </c>
      <c r="W41" s="10" t="s">
        <v>77</v>
      </c>
    </row>
    <row r="42" customFormat="false" ht="15" hidden="false" customHeight="false" outlineLevel="0" collapsed="false">
      <c r="A42" s="10" t="s">
        <v>78</v>
      </c>
      <c r="B42" s="10" t="s">
        <v>79</v>
      </c>
      <c r="C42" s="10" t="s">
        <v>80</v>
      </c>
      <c r="D42" s="10" t="s">
        <v>81</v>
      </c>
      <c r="E42" s="10" t="n">
        <v>11</v>
      </c>
      <c r="F42" s="10" t="s">
        <v>63</v>
      </c>
      <c r="G42" s="11" t="n">
        <v>31</v>
      </c>
      <c r="H42" s="10" t="n">
        <v>2</v>
      </c>
      <c r="I42" s="10" t="n">
        <v>7</v>
      </c>
      <c r="J42" s="10" t="n">
        <v>0</v>
      </c>
      <c r="K42" s="10" t="n">
        <v>0</v>
      </c>
      <c r="L42" s="10" t="n">
        <v>3</v>
      </c>
      <c r="M42" s="10" t="n">
        <v>4</v>
      </c>
      <c r="N42" s="10" t="n">
        <v>3</v>
      </c>
      <c r="O42" s="10" t="n">
        <v>3</v>
      </c>
      <c r="P42" s="12" t="n">
        <f aca="false">N42+O42</f>
        <v>6</v>
      </c>
      <c r="Q42" s="10" t="n">
        <v>5</v>
      </c>
      <c r="R42" s="10" t="n">
        <v>0</v>
      </c>
      <c r="S42" s="10" t="n">
        <v>1</v>
      </c>
      <c r="T42" s="10" t="n">
        <v>1</v>
      </c>
      <c r="U42" s="10" t="n">
        <v>4</v>
      </c>
      <c r="V42" s="10" t="n">
        <v>7</v>
      </c>
      <c r="W42" s="10" t="s">
        <v>77</v>
      </c>
    </row>
    <row r="43" customFormat="false" ht="15" hidden="false" customHeight="false" outlineLevel="0" collapsed="false">
      <c r="A43" s="10" t="s">
        <v>78</v>
      </c>
      <c r="B43" s="10" t="s">
        <v>79</v>
      </c>
      <c r="C43" s="10" t="s">
        <v>80</v>
      </c>
      <c r="D43" s="10" t="s">
        <v>81</v>
      </c>
      <c r="E43" s="10" t="n">
        <v>14</v>
      </c>
      <c r="F43" s="10" t="s">
        <v>60</v>
      </c>
      <c r="G43" s="11" t="n">
        <v>23</v>
      </c>
      <c r="H43" s="10" t="n">
        <v>3</v>
      </c>
      <c r="I43" s="10" t="n">
        <v>4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1</v>
      </c>
      <c r="O43" s="10" t="n">
        <v>1</v>
      </c>
      <c r="P43" s="12" t="n">
        <f aca="false">N43+O43</f>
        <v>2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4</v>
      </c>
      <c r="V43" s="10" t="n">
        <v>6</v>
      </c>
      <c r="W43" s="10" t="s">
        <v>77</v>
      </c>
    </row>
    <row r="44" customFormat="false" ht="15" hidden="false" customHeight="false" outlineLevel="0" collapsed="false">
      <c r="A44" s="10" t="s">
        <v>78</v>
      </c>
      <c r="B44" s="10" t="s">
        <v>79</v>
      </c>
      <c r="C44" s="10" t="s">
        <v>80</v>
      </c>
      <c r="D44" s="10" t="s">
        <v>81</v>
      </c>
      <c r="E44" s="10" t="n">
        <v>6</v>
      </c>
      <c r="F44" s="10" t="s">
        <v>57</v>
      </c>
      <c r="G44" s="11" t="n">
        <v>19</v>
      </c>
      <c r="H44" s="10" t="n">
        <v>5</v>
      </c>
      <c r="I44" s="10" t="n">
        <v>12</v>
      </c>
      <c r="J44" s="10" t="n">
        <v>2</v>
      </c>
      <c r="K44" s="10" t="n">
        <v>6</v>
      </c>
      <c r="L44" s="10" t="n">
        <v>2</v>
      </c>
      <c r="M44" s="10" t="n">
        <v>2</v>
      </c>
      <c r="N44" s="10" t="n">
        <v>2</v>
      </c>
      <c r="O44" s="10" t="n">
        <v>2</v>
      </c>
      <c r="P44" s="12" t="n">
        <f aca="false">N44+O44</f>
        <v>4</v>
      </c>
      <c r="Q44" s="10" t="n">
        <v>3</v>
      </c>
      <c r="R44" s="10" t="n">
        <v>2</v>
      </c>
      <c r="S44" s="10" t="n">
        <v>2</v>
      </c>
      <c r="T44" s="10" t="n">
        <v>0</v>
      </c>
      <c r="U44" s="10" t="n">
        <v>4</v>
      </c>
      <c r="V44" s="10" t="n">
        <v>14</v>
      </c>
      <c r="W44" s="10" t="s">
        <v>76</v>
      </c>
    </row>
    <row r="45" customFormat="false" ht="15" hidden="false" customHeight="false" outlineLevel="0" collapsed="false">
      <c r="A45" s="10" t="s">
        <v>78</v>
      </c>
      <c r="B45" s="10" t="s">
        <v>79</v>
      </c>
      <c r="C45" s="10" t="s">
        <v>80</v>
      </c>
      <c r="D45" s="10" t="s">
        <v>81</v>
      </c>
      <c r="E45" s="10" t="n">
        <v>0</v>
      </c>
      <c r="F45" s="10" t="s">
        <v>64</v>
      </c>
      <c r="G45" s="11" t="n">
        <v>16</v>
      </c>
      <c r="H45" s="10" t="n">
        <v>3</v>
      </c>
      <c r="I45" s="10" t="n">
        <v>6</v>
      </c>
      <c r="J45" s="10" t="n">
        <v>2</v>
      </c>
      <c r="K45" s="10" t="n">
        <v>3</v>
      </c>
      <c r="L45" s="10" t="n">
        <v>1</v>
      </c>
      <c r="M45" s="10" t="n">
        <v>2</v>
      </c>
      <c r="N45" s="10" t="n">
        <v>0</v>
      </c>
      <c r="O45" s="10" t="n">
        <v>2</v>
      </c>
      <c r="P45" s="12" t="n">
        <f aca="false">N45+O45</f>
        <v>2</v>
      </c>
      <c r="Q45" s="10" t="n">
        <v>1</v>
      </c>
      <c r="R45" s="10" t="n">
        <v>4</v>
      </c>
      <c r="S45" s="10" t="n">
        <v>2</v>
      </c>
      <c r="T45" s="10" t="n">
        <v>0</v>
      </c>
      <c r="U45" s="10" t="n">
        <v>2</v>
      </c>
      <c r="V45" s="10" t="n">
        <v>9</v>
      </c>
      <c r="W45" s="10" t="s">
        <v>76</v>
      </c>
    </row>
    <row r="46" customFormat="false" ht="15" hidden="false" customHeight="false" outlineLevel="0" collapsed="false">
      <c r="A46" s="10" t="s">
        <v>78</v>
      </c>
      <c r="B46" s="10" t="s">
        <v>79</v>
      </c>
      <c r="C46" s="10" t="s">
        <v>80</v>
      </c>
      <c r="D46" s="10" t="s">
        <v>81</v>
      </c>
      <c r="E46" s="10" t="n">
        <v>2</v>
      </c>
      <c r="F46" s="10" t="s">
        <v>65</v>
      </c>
      <c r="G46" s="11" t="n">
        <v>19</v>
      </c>
      <c r="H46" s="10" t="n">
        <v>1</v>
      </c>
      <c r="I46" s="10" t="n">
        <v>3</v>
      </c>
      <c r="J46" s="10" t="n">
        <v>1</v>
      </c>
      <c r="K46" s="10" t="n">
        <v>2</v>
      </c>
      <c r="L46" s="10" t="n">
        <v>3</v>
      </c>
      <c r="M46" s="10" t="n">
        <v>4</v>
      </c>
      <c r="N46" s="10" t="n">
        <v>1</v>
      </c>
      <c r="O46" s="10" t="n">
        <v>2</v>
      </c>
      <c r="P46" s="12" t="n">
        <f aca="false">N46+O46</f>
        <v>3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6</v>
      </c>
      <c r="W46" s="10" t="s">
        <v>76</v>
      </c>
    </row>
    <row r="47" customFormat="false" ht="15" hidden="false" customHeight="false" outlineLevel="0" collapsed="false">
      <c r="A47" s="10" t="s">
        <v>78</v>
      </c>
      <c r="B47" s="10" t="s">
        <v>79</v>
      </c>
      <c r="C47" s="10" t="s">
        <v>80</v>
      </c>
      <c r="D47" s="10" t="s">
        <v>81</v>
      </c>
      <c r="E47" s="10" t="n">
        <v>7</v>
      </c>
      <c r="F47" s="10" t="s">
        <v>59</v>
      </c>
      <c r="G47" s="11" t="n">
        <v>14</v>
      </c>
      <c r="H47" s="10" t="n">
        <v>0</v>
      </c>
      <c r="I47" s="10" t="n">
        <v>2</v>
      </c>
      <c r="J47" s="10" t="n">
        <v>0</v>
      </c>
      <c r="K47" s="10" t="n">
        <v>1</v>
      </c>
      <c r="L47" s="10" t="n">
        <v>4</v>
      </c>
      <c r="M47" s="10" t="n">
        <v>4</v>
      </c>
      <c r="N47" s="10" t="n">
        <v>3</v>
      </c>
      <c r="O47" s="10" t="n">
        <v>1</v>
      </c>
      <c r="P47" s="12" t="n">
        <f aca="false">N47+O47</f>
        <v>4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1</v>
      </c>
      <c r="V47" s="10" t="n">
        <v>4</v>
      </c>
      <c r="W47" s="10" t="s">
        <v>76</v>
      </c>
    </row>
    <row r="48" customFormat="false" ht="15" hidden="false" customHeight="false" outlineLevel="0" collapsed="false">
      <c r="A48" s="10" t="s">
        <v>78</v>
      </c>
      <c r="B48" s="10" t="s">
        <v>79</v>
      </c>
      <c r="C48" s="10" t="s">
        <v>80</v>
      </c>
      <c r="D48" s="10" t="s">
        <v>81</v>
      </c>
      <c r="E48" s="10" t="n">
        <v>23</v>
      </c>
      <c r="F48" s="10" t="s">
        <v>61</v>
      </c>
      <c r="G48" s="11" t="n">
        <v>9</v>
      </c>
      <c r="H48" s="10" t="n">
        <v>1</v>
      </c>
      <c r="I48" s="10" t="n">
        <v>4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2" t="n">
        <f aca="false">N48+O48</f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1</v>
      </c>
      <c r="V48" s="10" t="n">
        <v>2</v>
      </c>
      <c r="W48" s="10" t="s">
        <v>76</v>
      </c>
    </row>
    <row r="49" customFormat="false" ht="15" hidden="false" customHeight="false" outlineLevel="0" collapsed="false">
      <c r="A49" s="10" t="s">
        <v>83</v>
      </c>
      <c r="B49" s="10" t="s">
        <v>84</v>
      </c>
      <c r="C49" s="10" t="s">
        <v>80</v>
      </c>
      <c r="D49" s="10" t="s">
        <v>85</v>
      </c>
      <c r="E49" s="10" t="n">
        <v>11</v>
      </c>
      <c r="F49" s="10" t="s">
        <v>63</v>
      </c>
      <c r="G49" s="11" t="n">
        <v>17.48</v>
      </c>
      <c r="H49" s="10" t="n">
        <v>3</v>
      </c>
      <c r="I49" s="10" t="n">
        <v>7</v>
      </c>
      <c r="J49" s="10" t="n">
        <v>0</v>
      </c>
      <c r="K49" s="10" t="n">
        <v>0</v>
      </c>
      <c r="L49" s="10" t="n">
        <v>2</v>
      </c>
      <c r="M49" s="10" t="n">
        <v>3</v>
      </c>
      <c r="N49" s="10" t="n">
        <v>3</v>
      </c>
      <c r="O49" s="10" t="n">
        <v>2</v>
      </c>
      <c r="P49" s="12" t="n">
        <f aca="false">N49+O49</f>
        <v>5</v>
      </c>
      <c r="Q49" s="10" t="n">
        <v>2</v>
      </c>
      <c r="R49" s="10" t="n">
        <v>1</v>
      </c>
      <c r="S49" s="10" t="n">
        <v>1</v>
      </c>
      <c r="T49" s="10" t="n">
        <v>2</v>
      </c>
      <c r="U49" s="10" t="n">
        <v>1</v>
      </c>
      <c r="V49" s="10" t="n">
        <v>8</v>
      </c>
      <c r="W49" s="10" t="s">
        <v>77</v>
      </c>
    </row>
    <row r="50" customFormat="false" ht="15" hidden="false" customHeight="false" outlineLevel="0" collapsed="false">
      <c r="A50" s="10" t="s">
        <v>83</v>
      </c>
      <c r="B50" s="10" t="s">
        <v>84</v>
      </c>
      <c r="C50" s="10" t="s">
        <v>80</v>
      </c>
      <c r="D50" s="10" t="s">
        <v>85</v>
      </c>
      <c r="E50" s="10" t="n">
        <v>14</v>
      </c>
      <c r="F50" s="10" t="s">
        <v>60</v>
      </c>
      <c r="G50" s="11" t="n">
        <v>21.58</v>
      </c>
      <c r="H50" s="10" t="n">
        <v>5</v>
      </c>
      <c r="I50" s="10" t="n">
        <v>7</v>
      </c>
      <c r="J50" s="10" t="n">
        <v>1</v>
      </c>
      <c r="K50" s="10" t="n">
        <v>2</v>
      </c>
      <c r="L50" s="10" t="n">
        <v>4</v>
      </c>
      <c r="M50" s="10" t="n">
        <v>6</v>
      </c>
      <c r="N50" s="10" t="n">
        <v>3</v>
      </c>
      <c r="O50" s="10" t="n">
        <v>1</v>
      </c>
      <c r="P50" s="12" t="n">
        <f aca="false">N50+O50</f>
        <v>4</v>
      </c>
      <c r="Q50" s="10" t="n">
        <v>1</v>
      </c>
      <c r="R50" s="10" t="n">
        <v>1</v>
      </c>
      <c r="S50" s="10" t="n">
        <v>0</v>
      </c>
      <c r="T50" s="10" t="n">
        <v>0</v>
      </c>
      <c r="U50" s="10" t="n">
        <v>2</v>
      </c>
      <c r="V50" s="10" t="n">
        <v>15</v>
      </c>
      <c r="W50" s="10" t="s">
        <v>77</v>
      </c>
    </row>
    <row r="51" customFormat="false" ht="15" hidden="false" customHeight="false" outlineLevel="0" collapsed="false">
      <c r="A51" s="10" t="s">
        <v>83</v>
      </c>
      <c r="B51" s="10" t="s">
        <v>84</v>
      </c>
      <c r="C51" s="10" t="s">
        <v>80</v>
      </c>
      <c r="D51" s="10" t="s">
        <v>85</v>
      </c>
      <c r="E51" s="10" t="n">
        <v>77</v>
      </c>
      <c r="F51" s="10" t="s">
        <v>62</v>
      </c>
      <c r="G51" s="11" t="n">
        <v>27.33</v>
      </c>
      <c r="H51" s="10" t="n">
        <v>10</v>
      </c>
      <c r="I51" s="10" t="n">
        <v>14</v>
      </c>
      <c r="J51" s="10" t="n">
        <v>2</v>
      </c>
      <c r="K51" s="10" t="n">
        <v>5</v>
      </c>
      <c r="L51" s="10" t="n">
        <v>8</v>
      </c>
      <c r="M51" s="10" t="n">
        <v>9</v>
      </c>
      <c r="N51" s="10" t="n">
        <v>0</v>
      </c>
      <c r="O51" s="10" t="n">
        <v>3</v>
      </c>
      <c r="P51" s="12" t="n">
        <f aca="false">N51+O51</f>
        <v>3</v>
      </c>
      <c r="Q51" s="10" t="n">
        <v>1</v>
      </c>
      <c r="R51" s="10" t="n">
        <v>4</v>
      </c>
      <c r="S51" s="10" t="n">
        <v>5</v>
      </c>
      <c r="T51" s="10" t="n">
        <v>0</v>
      </c>
      <c r="U51" s="10" t="n">
        <v>4</v>
      </c>
      <c r="V51" s="10" t="n">
        <v>30</v>
      </c>
      <c r="W51" s="10" t="s">
        <v>77</v>
      </c>
    </row>
    <row r="52" customFormat="false" ht="15" hidden="false" customHeight="false" outlineLevel="0" collapsed="false">
      <c r="A52" s="10" t="s">
        <v>83</v>
      </c>
      <c r="B52" s="10" t="s">
        <v>84</v>
      </c>
      <c r="C52" s="10" t="s">
        <v>80</v>
      </c>
      <c r="D52" s="10" t="s">
        <v>85</v>
      </c>
      <c r="E52" s="10" t="n">
        <v>8</v>
      </c>
      <c r="F52" s="10" t="s">
        <v>82</v>
      </c>
      <c r="G52" s="11" t="n">
        <v>17.4</v>
      </c>
      <c r="H52" s="10" t="n">
        <v>0</v>
      </c>
      <c r="I52" s="10" t="n">
        <v>2</v>
      </c>
      <c r="J52" s="10" t="n">
        <v>0</v>
      </c>
      <c r="K52" s="10" t="n">
        <v>2</v>
      </c>
      <c r="L52" s="10" t="n">
        <v>2</v>
      </c>
      <c r="M52" s="10" t="n">
        <v>3</v>
      </c>
      <c r="N52" s="10" t="n">
        <v>0</v>
      </c>
      <c r="O52" s="10" t="n">
        <v>2</v>
      </c>
      <c r="P52" s="12" t="n">
        <f aca="false">N52+O52</f>
        <v>2</v>
      </c>
      <c r="Q52" s="10" t="n">
        <v>1</v>
      </c>
      <c r="R52" s="10" t="n">
        <v>2</v>
      </c>
      <c r="S52" s="10" t="n">
        <v>0</v>
      </c>
      <c r="T52" s="10" t="n">
        <v>0</v>
      </c>
      <c r="U52" s="10" t="n">
        <v>1</v>
      </c>
      <c r="V52" s="10" t="n">
        <v>2</v>
      </c>
      <c r="W52" s="10" t="s">
        <v>77</v>
      </c>
    </row>
    <row r="53" customFormat="false" ht="15" hidden="false" customHeight="false" outlineLevel="0" collapsed="false">
      <c r="A53" s="10" t="s">
        <v>83</v>
      </c>
      <c r="B53" s="10" t="s">
        <v>84</v>
      </c>
      <c r="C53" s="10" t="s">
        <v>80</v>
      </c>
      <c r="D53" s="10" t="s">
        <v>85</v>
      </c>
      <c r="E53" s="10" t="n">
        <v>34</v>
      </c>
      <c r="F53" s="10" t="s">
        <v>66</v>
      </c>
      <c r="G53" s="11" t="n">
        <v>18.22</v>
      </c>
      <c r="H53" s="10" t="n">
        <v>1</v>
      </c>
      <c r="I53" s="10" t="n">
        <v>3</v>
      </c>
      <c r="J53" s="10" t="n">
        <v>1</v>
      </c>
      <c r="K53" s="10" t="n">
        <v>3</v>
      </c>
      <c r="L53" s="10" t="n">
        <v>2</v>
      </c>
      <c r="M53" s="10" t="n">
        <v>2</v>
      </c>
      <c r="N53" s="10" t="n">
        <v>0</v>
      </c>
      <c r="O53" s="10" t="n">
        <v>1</v>
      </c>
      <c r="P53" s="12" t="n">
        <f aca="false">N53+O53</f>
        <v>1</v>
      </c>
      <c r="Q53" s="10" t="n">
        <v>1</v>
      </c>
      <c r="R53" s="10" t="n">
        <v>1</v>
      </c>
      <c r="S53" s="10" t="n">
        <v>2</v>
      </c>
      <c r="T53" s="10" t="n">
        <v>0</v>
      </c>
      <c r="U53" s="10" t="n">
        <v>0</v>
      </c>
      <c r="V53" s="10" t="n">
        <v>5</v>
      </c>
      <c r="W53" s="10" t="s">
        <v>77</v>
      </c>
    </row>
    <row r="54" customFormat="false" ht="15" hidden="false" customHeight="false" outlineLevel="0" collapsed="false">
      <c r="A54" s="10" t="s">
        <v>83</v>
      </c>
      <c r="B54" s="10" t="s">
        <v>84</v>
      </c>
      <c r="C54" s="10" t="s">
        <v>80</v>
      </c>
      <c r="D54" s="10" t="s">
        <v>85</v>
      </c>
      <c r="E54" s="10" t="n">
        <v>7</v>
      </c>
      <c r="F54" s="10" t="s">
        <v>59</v>
      </c>
      <c r="G54" s="11" t="n">
        <v>11.45</v>
      </c>
      <c r="H54" s="10" t="n">
        <v>0</v>
      </c>
      <c r="I54" s="10" t="n">
        <v>1</v>
      </c>
      <c r="J54" s="10" t="n">
        <v>0</v>
      </c>
      <c r="K54" s="10" t="n">
        <v>1</v>
      </c>
      <c r="L54" s="10" t="n">
        <v>0</v>
      </c>
      <c r="M54" s="10" t="n">
        <v>0</v>
      </c>
      <c r="N54" s="10" t="n">
        <v>0</v>
      </c>
      <c r="O54" s="10" t="n">
        <v>2</v>
      </c>
      <c r="P54" s="12" t="n">
        <f aca="false">N54+O54</f>
        <v>2</v>
      </c>
      <c r="Q54" s="10" t="n">
        <v>3</v>
      </c>
      <c r="R54" s="10" t="n">
        <v>0</v>
      </c>
      <c r="S54" s="10" t="n">
        <v>1</v>
      </c>
      <c r="T54" s="10" t="n">
        <v>0</v>
      </c>
      <c r="U54" s="10" t="n">
        <v>3</v>
      </c>
      <c r="V54" s="10" t="n">
        <v>0</v>
      </c>
      <c r="W54" s="10" t="s">
        <v>76</v>
      </c>
    </row>
    <row r="55" customFormat="false" ht="15" hidden="false" customHeight="false" outlineLevel="0" collapsed="false">
      <c r="A55" s="10" t="s">
        <v>83</v>
      </c>
      <c r="B55" s="10" t="s">
        <v>84</v>
      </c>
      <c r="C55" s="10" t="s">
        <v>80</v>
      </c>
      <c r="D55" s="10" t="s">
        <v>85</v>
      </c>
      <c r="E55" s="10" t="n">
        <v>6</v>
      </c>
      <c r="F55" s="10" t="s">
        <v>57</v>
      </c>
      <c r="G55" s="11" t="n">
        <v>20.87</v>
      </c>
      <c r="H55" s="10" t="n">
        <v>3</v>
      </c>
      <c r="I55" s="10" t="n">
        <v>7</v>
      </c>
      <c r="J55" s="10" t="n">
        <v>0</v>
      </c>
      <c r="K55" s="10" t="n">
        <v>3</v>
      </c>
      <c r="L55" s="10" t="n">
        <v>2</v>
      </c>
      <c r="M55" s="10" t="n">
        <v>2</v>
      </c>
      <c r="N55" s="10" t="n">
        <v>0</v>
      </c>
      <c r="O55" s="10" t="n">
        <v>3</v>
      </c>
      <c r="P55" s="12" t="n">
        <f aca="false">N55+O55</f>
        <v>3</v>
      </c>
      <c r="Q55" s="10" t="n">
        <v>4</v>
      </c>
      <c r="R55" s="10" t="n">
        <v>2</v>
      </c>
      <c r="S55" s="10" t="n">
        <v>1</v>
      </c>
      <c r="T55" s="10" t="n">
        <v>0</v>
      </c>
      <c r="U55" s="10" t="n">
        <v>0</v>
      </c>
      <c r="V55" s="10" t="n">
        <v>8</v>
      </c>
      <c r="W55" s="10" t="s">
        <v>76</v>
      </c>
    </row>
    <row r="56" customFormat="false" ht="15" hidden="false" customHeight="false" outlineLevel="0" collapsed="false">
      <c r="A56" s="10" t="s">
        <v>83</v>
      </c>
      <c r="B56" s="10" t="s">
        <v>84</v>
      </c>
      <c r="C56" s="10" t="s">
        <v>80</v>
      </c>
      <c r="D56" s="10" t="s">
        <v>85</v>
      </c>
      <c r="E56" s="10" t="n">
        <v>2</v>
      </c>
      <c r="F56" s="10" t="s">
        <v>65</v>
      </c>
      <c r="G56" s="11" t="n">
        <v>21.08</v>
      </c>
      <c r="H56" s="10" t="n">
        <v>0</v>
      </c>
      <c r="I56" s="10" t="n">
        <v>5</v>
      </c>
      <c r="J56" s="10" t="n">
        <v>0</v>
      </c>
      <c r="K56" s="10" t="n">
        <v>4</v>
      </c>
      <c r="L56" s="10" t="n">
        <v>0</v>
      </c>
      <c r="M56" s="10" t="n">
        <v>0</v>
      </c>
      <c r="N56" s="10" t="n">
        <v>0</v>
      </c>
      <c r="O56" s="10" t="n">
        <v>0</v>
      </c>
      <c r="P56" s="12" t="n">
        <f aca="false">N56+O56</f>
        <v>0</v>
      </c>
      <c r="Q56" s="10" t="n">
        <v>1</v>
      </c>
      <c r="R56" s="10" t="n">
        <v>0</v>
      </c>
      <c r="S56" s="10" t="n">
        <v>1</v>
      </c>
      <c r="T56" s="10" t="n">
        <v>1</v>
      </c>
      <c r="U56" s="10" t="n">
        <v>2</v>
      </c>
      <c r="V56" s="10" t="n">
        <v>0</v>
      </c>
      <c r="W56" s="10" t="s">
        <v>76</v>
      </c>
    </row>
    <row r="57" customFormat="false" ht="15" hidden="false" customHeight="false" outlineLevel="0" collapsed="false">
      <c r="A57" s="10" t="s">
        <v>83</v>
      </c>
      <c r="B57" s="10" t="s">
        <v>84</v>
      </c>
      <c r="C57" s="10" t="s">
        <v>80</v>
      </c>
      <c r="D57" s="10" t="s">
        <v>85</v>
      </c>
      <c r="E57" s="10" t="n">
        <v>23</v>
      </c>
      <c r="F57" s="10" t="s">
        <v>61</v>
      </c>
      <c r="G57" s="11" t="n">
        <v>13.25</v>
      </c>
      <c r="H57" s="10" t="n">
        <v>2</v>
      </c>
      <c r="I57" s="10" t="n">
        <v>4</v>
      </c>
      <c r="J57" s="10" t="n">
        <v>0</v>
      </c>
      <c r="K57" s="10" t="n">
        <v>0</v>
      </c>
      <c r="L57" s="10" t="n">
        <v>1</v>
      </c>
      <c r="M57" s="10" t="n">
        <v>2</v>
      </c>
      <c r="N57" s="10" t="n">
        <v>4</v>
      </c>
      <c r="O57" s="10" t="n">
        <v>2</v>
      </c>
      <c r="P57" s="12" t="n">
        <f aca="false">N57+O57</f>
        <v>6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2</v>
      </c>
      <c r="V57" s="10" t="n">
        <v>5</v>
      </c>
      <c r="W57" s="10" t="s">
        <v>76</v>
      </c>
    </row>
    <row r="58" customFormat="false" ht="15" hidden="false" customHeight="false" outlineLevel="0" collapsed="false">
      <c r="A58" s="10" t="s">
        <v>83</v>
      </c>
      <c r="B58" s="10" t="s">
        <v>84</v>
      </c>
      <c r="C58" s="10" t="s">
        <v>80</v>
      </c>
      <c r="D58" s="10" t="s">
        <v>85</v>
      </c>
      <c r="E58" s="10" t="n">
        <v>0</v>
      </c>
      <c r="F58" s="10" t="s">
        <v>64</v>
      </c>
      <c r="G58" s="11" t="n">
        <v>17.08</v>
      </c>
      <c r="H58" s="10" t="n">
        <v>3</v>
      </c>
      <c r="I58" s="10" t="n">
        <v>6</v>
      </c>
      <c r="J58" s="10" t="n">
        <v>1</v>
      </c>
      <c r="K58" s="10" t="n">
        <v>3</v>
      </c>
      <c r="L58" s="10" t="n">
        <v>0</v>
      </c>
      <c r="M58" s="10" t="n">
        <v>1</v>
      </c>
      <c r="N58" s="10" t="n">
        <v>1</v>
      </c>
      <c r="O58" s="10" t="n">
        <v>3</v>
      </c>
      <c r="P58" s="12" t="n">
        <f aca="false">N58+O58</f>
        <v>4</v>
      </c>
      <c r="Q58" s="10" t="n">
        <v>1</v>
      </c>
      <c r="R58" s="10" t="n">
        <v>4</v>
      </c>
      <c r="S58" s="10" t="n">
        <v>2</v>
      </c>
      <c r="T58" s="10" t="n">
        <v>0</v>
      </c>
      <c r="U58" s="10" t="n">
        <v>3</v>
      </c>
      <c r="V58" s="10" t="n">
        <v>7</v>
      </c>
      <c r="W58" s="10" t="s">
        <v>76</v>
      </c>
    </row>
    <row r="59" customFormat="false" ht="15" hidden="false" customHeight="false" outlineLevel="0" collapsed="false">
      <c r="A59" s="10" t="s">
        <v>83</v>
      </c>
      <c r="B59" s="10" t="s">
        <v>84</v>
      </c>
      <c r="C59" s="10" t="s">
        <v>80</v>
      </c>
      <c r="D59" s="10" t="s">
        <v>85</v>
      </c>
      <c r="E59" s="10" t="n">
        <v>16</v>
      </c>
      <c r="F59" s="10" t="s">
        <v>86</v>
      </c>
      <c r="G59" s="11" t="n">
        <v>9.27</v>
      </c>
      <c r="H59" s="10" t="n">
        <v>4</v>
      </c>
      <c r="I59" s="10" t="n">
        <v>6</v>
      </c>
      <c r="J59" s="10" t="n">
        <v>2</v>
      </c>
      <c r="K59" s="10" t="n">
        <v>4</v>
      </c>
      <c r="L59" s="10" t="n">
        <v>0</v>
      </c>
      <c r="M59" s="10" t="n">
        <v>0</v>
      </c>
      <c r="N59" s="10" t="n">
        <v>3</v>
      </c>
      <c r="O59" s="10" t="n">
        <v>1</v>
      </c>
      <c r="P59" s="12" t="n">
        <f aca="false">N59+O59</f>
        <v>4</v>
      </c>
      <c r="Q59" s="10" t="n">
        <v>0</v>
      </c>
      <c r="R59" s="10" t="n">
        <v>0</v>
      </c>
      <c r="S59" s="10" t="n">
        <v>1</v>
      </c>
      <c r="T59" s="10" t="n">
        <v>0</v>
      </c>
      <c r="U59" s="10" t="n">
        <v>0</v>
      </c>
      <c r="V59" s="10" t="n">
        <v>10</v>
      </c>
      <c r="W59" s="10" t="s">
        <v>76</v>
      </c>
    </row>
    <row r="60" customFormat="false" ht="15" hidden="false" customHeight="false" outlineLevel="0" collapsed="false">
      <c r="A60" s="10" t="s">
        <v>83</v>
      </c>
      <c r="B60" s="10" t="s">
        <v>84</v>
      </c>
      <c r="C60" s="10" t="s">
        <v>80</v>
      </c>
      <c r="D60" s="10" t="s">
        <v>85</v>
      </c>
      <c r="E60" s="10" t="n">
        <v>4</v>
      </c>
      <c r="F60" s="10" t="s">
        <v>67</v>
      </c>
      <c r="G60" s="11" t="n">
        <v>0.1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2" t="n">
        <f aca="false">N60+O60</f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s">
        <v>76</v>
      </c>
    </row>
    <row r="61" customFormat="false" ht="15" hidden="false" customHeight="false" outlineLevel="0" collapsed="false">
      <c r="A61" s="10" t="s">
        <v>83</v>
      </c>
      <c r="B61" s="10" t="s">
        <v>84</v>
      </c>
      <c r="C61" s="10" t="s">
        <v>80</v>
      </c>
      <c r="D61" s="10" t="s">
        <v>85</v>
      </c>
      <c r="E61" s="10" t="n">
        <v>13</v>
      </c>
      <c r="F61" s="10" t="s">
        <v>68</v>
      </c>
      <c r="G61" s="11" t="n">
        <v>3.25</v>
      </c>
      <c r="H61" s="10" t="n">
        <v>1</v>
      </c>
      <c r="I61" s="10" t="n">
        <v>1</v>
      </c>
      <c r="J61" s="10" t="n">
        <v>1</v>
      </c>
      <c r="K61" s="10" t="n">
        <v>1</v>
      </c>
      <c r="L61" s="10" t="n">
        <v>0</v>
      </c>
      <c r="M61" s="10" t="n">
        <v>0</v>
      </c>
      <c r="N61" s="10" t="n">
        <v>0</v>
      </c>
      <c r="O61" s="10" t="n">
        <v>0</v>
      </c>
      <c r="P61" s="12" t="n">
        <f aca="false">N61+O61</f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1</v>
      </c>
      <c r="V61" s="10" t="n">
        <v>3</v>
      </c>
      <c r="W61" s="10" t="s">
        <v>76</v>
      </c>
    </row>
    <row r="62" customFormat="false" ht="15" hidden="false" customHeight="false" outlineLevel="0" collapsed="false">
      <c r="A62" s="10" t="s">
        <v>83</v>
      </c>
      <c r="B62" s="10" t="s">
        <v>84</v>
      </c>
      <c r="C62" s="10" t="s">
        <v>80</v>
      </c>
      <c r="D62" s="10" t="s">
        <v>85</v>
      </c>
      <c r="E62" s="10" t="n">
        <v>25</v>
      </c>
      <c r="F62" s="10" t="s">
        <v>69</v>
      </c>
      <c r="G62" s="11" t="n">
        <v>1.63</v>
      </c>
      <c r="H62" s="10" t="n">
        <v>0</v>
      </c>
      <c r="I62" s="10" t="n">
        <v>1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2" t="n">
        <f aca="false">N62+O62</f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s">
        <v>76</v>
      </c>
    </row>
    <row r="64" customFormat="false" ht="15" hidden="false" customHeight="false" outlineLevel="0" collapsed="false">
      <c r="A64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5"/>
    <col collapsed="false" customWidth="true" hidden="false" outlineLevel="0" max="5" min="5" style="0" width="7"/>
    <col collapsed="false" customWidth="true" hidden="false" outlineLevel="0" max="7" min="6" style="0" width="6"/>
    <col collapsed="false" customWidth="true" hidden="false" outlineLevel="0" max="8" min="8" style="0" width="7"/>
    <col collapsed="false" customWidth="true" hidden="false" outlineLevel="0" max="22" min="9" style="0" width="6"/>
    <col collapsed="false" customWidth="true" hidden="false" outlineLevel="0" max="23" min="23" style="0" width="7"/>
    <col collapsed="false" customWidth="true" hidden="false" outlineLevel="0" max="25" min="24" style="0" width="6"/>
    <col collapsed="false" customWidth="true" hidden="false" outlineLevel="0" max="26" min="26" style="0" width="7"/>
    <col collapsed="false" customWidth="true" hidden="false" outlineLevel="0" max="28" min="27" style="0" width="6"/>
    <col collapsed="false" customWidth="true" hidden="false" outlineLevel="0" max="32" min="29" style="0" width="7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30" hidden="false" customHeight="true" outlineLevel="0" collapsed="false">
      <c r="A4" s="9" t="s">
        <v>34</v>
      </c>
      <c r="B4" s="9" t="s">
        <v>35</v>
      </c>
      <c r="C4" s="9" t="s">
        <v>90</v>
      </c>
      <c r="D4" s="9" t="s">
        <v>91</v>
      </c>
      <c r="E4" s="9" t="s">
        <v>36</v>
      </c>
      <c r="F4" s="9" t="s">
        <v>92</v>
      </c>
      <c r="G4" s="9" t="s">
        <v>51</v>
      </c>
      <c r="H4" s="9" t="s">
        <v>93</v>
      </c>
      <c r="I4" s="9" t="s">
        <v>45</v>
      </c>
      <c r="J4" s="9" t="s">
        <v>94</v>
      </c>
      <c r="K4" s="9" t="s">
        <v>43</v>
      </c>
      <c r="L4" s="9" t="s">
        <v>46</v>
      </c>
      <c r="M4" s="9" t="s">
        <v>95</v>
      </c>
      <c r="N4" s="9" t="s">
        <v>47</v>
      </c>
      <c r="O4" s="9" t="s">
        <v>96</v>
      </c>
      <c r="P4" s="9" t="s">
        <v>48</v>
      </c>
      <c r="Q4" s="9" t="s">
        <v>97</v>
      </c>
      <c r="R4" s="9" t="s">
        <v>49</v>
      </c>
      <c r="S4" s="9" t="s">
        <v>50</v>
      </c>
      <c r="T4" s="9" t="s">
        <v>98</v>
      </c>
      <c r="U4" s="9" t="s">
        <v>37</v>
      </c>
      <c r="V4" s="9" t="s">
        <v>38</v>
      </c>
      <c r="W4" s="9" t="s">
        <v>99</v>
      </c>
      <c r="X4" s="9" t="s">
        <v>39</v>
      </c>
      <c r="Y4" s="9" t="s">
        <v>40</v>
      </c>
      <c r="Z4" s="9" t="s">
        <v>100</v>
      </c>
      <c r="AA4" s="9" t="s">
        <v>41</v>
      </c>
      <c r="AB4" s="9" t="s">
        <v>42</v>
      </c>
      <c r="AC4" s="9" t="s">
        <v>101</v>
      </c>
      <c r="AD4" s="9" t="s">
        <v>102</v>
      </c>
      <c r="AE4" s="9" t="s">
        <v>103</v>
      </c>
      <c r="AF4" s="9" t="s">
        <v>104</v>
      </c>
    </row>
    <row r="5" customFormat="false" ht="15" hidden="false" customHeight="false" outlineLevel="0" collapsed="false">
      <c r="A5" s="13" t="n">
        <v>77</v>
      </c>
      <c r="B5" s="14" t="s">
        <v>62</v>
      </c>
      <c r="C5" s="13" t="n">
        <f aca="false">COUNTIFS('Player Game Log'!$F$5:$F$62,$B5)</f>
        <v>5</v>
      </c>
      <c r="D5" s="13" t="n">
        <f aca="false">COUNTIFS('Player Game Log'!$F$5:$F$62,$B5,'Player Game Log'!$W$5:$W$62,"Yes")</f>
        <v>3</v>
      </c>
      <c r="E5" s="15" t="n">
        <f aca="false">SUMIFS('Player Game Log'!$G$5:$G$62,'Player Game Log'!$F$5:$F$62,$B5)</f>
        <v>101.78</v>
      </c>
      <c r="F5" s="15" t="n">
        <f aca="false">IFERROR(E5/COUNTIFS('Player Game Log'!$F$5:$F$62,$B5,'Player Game Log'!$G$5:$G$62,"&lt;&gt;"),"")</f>
        <v>25.445</v>
      </c>
      <c r="G5" s="13" t="n">
        <f aca="false">SUMIFS('Player Game Log'!$V$5:$V$62,'Player Game Log'!$F$5:$F$62,$B5)</f>
        <v>106</v>
      </c>
      <c r="H5" s="15" t="n">
        <f aca="false">G5/C5</f>
        <v>21.2</v>
      </c>
      <c r="I5" s="13" t="n">
        <f aca="false">SUMIFS('Player Game Log'!$P$5:$P$62,'Player Game Log'!$F$5:$F$62,$B5)</f>
        <v>19</v>
      </c>
      <c r="J5" s="15" t="n">
        <f aca="false">I5/C5</f>
        <v>3.8</v>
      </c>
      <c r="K5" s="13" t="n">
        <f aca="false">SUMIFS('Player Game Log'!$N$5:$N$62,'Player Game Log'!$F$5:$F$62,$B5)</f>
        <v>6</v>
      </c>
      <c r="L5" s="13" t="n">
        <f aca="false">SUMIFS('Player Game Log'!$Q$5:$Q$62,'Player Game Log'!$F$5:$F$62,$B5)</f>
        <v>15</v>
      </c>
      <c r="M5" s="15" t="n">
        <f aca="false">L5/C5</f>
        <v>3</v>
      </c>
      <c r="N5" s="13" t="n">
        <f aca="false">SUMIFS('Player Game Log'!$R$5:$R$62,'Player Game Log'!$F$5:$F$62,$B5)</f>
        <v>13</v>
      </c>
      <c r="O5" s="15" t="n">
        <f aca="false">N5/C5</f>
        <v>2.6</v>
      </c>
      <c r="P5" s="13" t="n">
        <f aca="false">SUMIFS('Player Game Log'!$S$5:$S$62,'Player Game Log'!$F$5:$F$62,$B5)</f>
        <v>14</v>
      </c>
      <c r="Q5" s="15" t="n">
        <f aca="false">P5/C5</f>
        <v>2.8</v>
      </c>
      <c r="R5" s="13" t="n">
        <f aca="false">SUMIFS('Player Game Log'!$T$5:$T$62,'Player Game Log'!$F$5:$F$62,$B5)</f>
        <v>3</v>
      </c>
      <c r="S5" s="13" t="n">
        <f aca="false">SUMIFS('Player Game Log'!$U$5:$U$62,'Player Game Log'!$F$5:$F$62,$B5)</f>
        <v>14</v>
      </c>
      <c r="T5" s="15" t="n">
        <f aca="false">S5/C5</f>
        <v>2.8</v>
      </c>
      <c r="U5" s="13" t="n">
        <f aca="false">SUMIFS('Player Game Log'!$H$5:$H$62,'Player Game Log'!$F$5:$F$62,$B5)</f>
        <v>37</v>
      </c>
      <c r="V5" s="13" t="n">
        <f aca="false">SUMIFS('Player Game Log'!$I$5:$I$62,'Player Game Log'!$F$5:$F$62,$B5)</f>
        <v>77</v>
      </c>
      <c r="W5" s="16" t="n">
        <f aca="false">IF(V5=0,"",U5/V5)</f>
        <v>0.480519480519481</v>
      </c>
      <c r="X5" s="13" t="n">
        <f aca="false">SUMIFS('Player Game Log'!$J$5:$J$62,'Player Game Log'!$F$5:$F$62,$B5)</f>
        <v>6</v>
      </c>
      <c r="Y5" s="13" t="n">
        <f aca="false">SUMIFS('Player Game Log'!$K$5:$K$62,'Player Game Log'!$F$5:$F$62,$B5)</f>
        <v>30</v>
      </c>
      <c r="Z5" s="17" t="n">
        <f aca="false">IF(Y5=0,"",X5/Y5)</f>
        <v>0.2</v>
      </c>
      <c r="AA5" s="13" t="n">
        <f aca="false">SUMIFS('Player Game Log'!$L$5:$L$62,'Player Game Log'!$F$5:$F$62,$B5)</f>
        <v>26</v>
      </c>
      <c r="AB5" s="13" t="n">
        <f aca="false">SUMIFS('Player Game Log'!$M$5:$M$62,'Player Game Log'!$F$5:$F$62,$B5)</f>
        <v>30</v>
      </c>
      <c r="AC5" s="16" t="n">
        <f aca="false">IF(AB5=0,"",AA5/AB5)</f>
        <v>0.866666666666667</v>
      </c>
      <c r="AD5" s="16" t="n">
        <f aca="false">IF(V5=0,"",(U5+0.5*X5)/V5)</f>
        <v>0.519480519480519</v>
      </c>
      <c r="AE5" s="16" t="n">
        <f aca="false">IF(V5+AB5=0,"",G5/(2*(V5+0.44*AB5)))</f>
        <v>0.587583148558758</v>
      </c>
      <c r="AF5" s="15" t="n">
        <f aca="false">IF(E5=0,"",G5/E5*40)</f>
        <v>41.6584790725093</v>
      </c>
    </row>
    <row r="6" customFormat="false" ht="15" hidden="false" customHeight="false" outlineLevel="0" collapsed="false">
      <c r="A6" s="13" t="n">
        <v>0</v>
      </c>
      <c r="B6" s="14" t="s">
        <v>64</v>
      </c>
      <c r="C6" s="13" t="n">
        <f aca="false">COUNTIFS('Player Game Log'!$F$5:$F$62,$B6)</f>
        <v>5</v>
      </c>
      <c r="D6" s="13" t="n">
        <f aca="false">COUNTIFS('Player Game Log'!$F$5:$F$62,$B6,'Player Game Log'!$W$5:$W$62,"Yes")</f>
        <v>0</v>
      </c>
      <c r="E6" s="15" t="n">
        <f aca="false">SUMIFS('Player Game Log'!$G$5:$G$62,'Player Game Log'!$F$5:$F$62,$B6)</f>
        <v>71.26</v>
      </c>
      <c r="F6" s="15" t="n">
        <f aca="false">IFERROR(E6/COUNTIFS('Player Game Log'!$F$5:$F$62,$B6,'Player Game Log'!$G$5:$G$62,"&lt;&gt;"),"")</f>
        <v>17.815</v>
      </c>
      <c r="G6" s="13" t="n">
        <f aca="false">SUMIFS('Player Game Log'!$V$5:$V$62,'Player Game Log'!$F$5:$F$62,$B6)</f>
        <v>56</v>
      </c>
      <c r="H6" s="15" t="n">
        <f aca="false">G6/C6</f>
        <v>11.2</v>
      </c>
      <c r="I6" s="13" t="n">
        <f aca="false">SUMIFS('Player Game Log'!$P$5:$P$62,'Player Game Log'!$F$5:$F$62,$B6)</f>
        <v>17</v>
      </c>
      <c r="J6" s="15" t="n">
        <f aca="false">I6/C6</f>
        <v>3.4</v>
      </c>
      <c r="K6" s="13" t="n">
        <f aca="false">SUMIFS('Player Game Log'!$N$5:$N$62,'Player Game Log'!$F$5:$F$62,$B6)</f>
        <v>2</v>
      </c>
      <c r="L6" s="13" t="n">
        <f aca="false">SUMIFS('Player Game Log'!$Q$5:$Q$62,'Player Game Log'!$F$5:$F$62,$B6)</f>
        <v>17</v>
      </c>
      <c r="M6" s="15" t="n">
        <f aca="false">L6/C6</f>
        <v>3.4</v>
      </c>
      <c r="N6" s="13" t="n">
        <f aca="false">SUMIFS('Player Game Log'!$R$5:$R$62,'Player Game Log'!$F$5:$F$62,$B6)</f>
        <v>20</v>
      </c>
      <c r="O6" s="18" t="n">
        <f aca="false">N6/C6</f>
        <v>4</v>
      </c>
      <c r="P6" s="13" t="n">
        <f aca="false">SUMIFS('Player Game Log'!$S$5:$S$62,'Player Game Log'!$F$5:$F$62,$B6)</f>
        <v>9</v>
      </c>
      <c r="Q6" s="15" t="n">
        <f aca="false">P6/C6</f>
        <v>1.8</v>
      </c>
      <c r="R6" s="13" t="n">
        <f aca="false">SUMIFS('Player Game Log'!$T$5:$T$62,'Player Game Log'!$F$5:$F$62,$B6)</f>
        <v>1</v>
      </c>
      <c r="S6" s="13" t="n">
        <f aca="false">SUMIFS('Player Game Log'!$U$5:$U$62,'Player Game Log'!$F$5:$F$62,$B6)</f>
        <v>10</v>
      </c>
      <c r="T6" s="15" t="n">
        <f aca="false">S6/C6</f>
        <v>2</v>
      </c>
      <c r="U6" s="13" t="n">
        <f aca="false">SUMIFS('Player Game Log'!$H$5:$H$62,'Player Game Log'!$F$5:$F$62,$B6)</f>
        <v>22</v>
      </c>
      <c r="V6" s="13" t="n">
        <f aca="false">SUMIFS('Player Game Log'!$I$5:$I$62,'Player Game Log'!$F$5:$F$62,$B6)</f>
        <v>43</v>
      </c>
      <c r="W6" s="16" t="n">
        <f aca="false">IF(V6=0,"",U6/V6)</f>
        <v>0.511627906976744</v>
      </c>
      <c r="X6" s="13" t="n">
        <f aca="false">SUMIFS('Player Game Log'!$J$5:$J$62,'Player Game Log'!$F$5:$F$62,$B6)</f>
        <v>9</v>
      </c>
      <c r="Y6" s="13" t="n">
        <f aca="false">SUMIFS('Player Game Log'!$K$5:$K$62,'Player Game Log'!$F$5:$F$62,$B6)</f>
        <v>26</v>
      </c>
      <c r="Z6" s="16" t="n">
        <f aca="false">IF(Y6=0,"",X6/Y6)</f>
        <v>0.346153846153846</v>
      </c>
      <c r="AA6" s="13" t="n">
        <f aca="false">SUMIFS('Player Game Log'!$L$5:$L$62,'Player Game Log'!$F$5:$F$62,$B6)</f>
        <v>3</v>
      </c>
      <c r="AB6" s="13" t="n">
        <f aca="false">SUMIFS('Player Game Log'!$M$5:$M$62,'Player Game Log'!$F$5:$F$62,$B6)</f>
        <v>8</v>
      </c>
      <c r="AC6" s="17" t="n">
        <f aca="false">IF(AB6=0,"",AA6/AB6)</f>
        <v>0.375</v>
      </c>
      <c r="AD6" s="16" t="n">
        <f aca="false">IF(V6=0,"",(U6+0.5*X6)/V6)</f>
        <v>0.616279069767442</v>
      </c>
      <c r="AE6" s="16" t="n">
        <f aca="false">IF(V6+AB6=0,"",G6/(2*(V6+0.44*AB6)))</f>
        <v>0.60189165950129</v>
      </c>
      <c r="AF6" s="15" t="n">
        <f aca="false">IF(E6=0,"",G6/E6*40)</f>
        <v>31.434184675835</v>
      </c>
    </row>
    <row r="7" customFormat="false" ht="15" hidden="false" customHeight="false" outlineLevel="0" collapsed="false">
      <c r="A7" s="13" t="n">
        <v>6</v>
      </c>
      <c r="B7" s="14" t="s">
        <v>57</v>
      </c>
      <c r="C7" s="13" t="n">
        <f aca="false">COUNTIFS('Player Game Log'!$F$5:$F$62,$B7)</f>
        <v>5</v>
      </c>
      <c r="D7" s="13" t="n">
        <f aca="false">COUNTIFS('Player Game Log'!$F$5:$F$62,$B7,'Player Game Log'!$W$5:$W$62,"Yes")</f>
        <v>1</v>
      </c>
      <c r="E7" s="15" t="n">
        <f aca="false">SUMIFS('Player Game Log'!$G$5:$G$62,'Player Game Log'!$F$5:$F$62,$B7)</f>
        <v>76.99</v>
      </c>
      <c r="F7" s="15" t="n">
        <f aca="false">IFERROR(E7/COUNTIFS('Player Game Log'!$F$5:$F$62,$B7,'Player Game Log'!$G$5:$G$62,"&lt;&gt;"),"")</f>
        <v>19.2475</v>
      </c>
      <c r="G7" s="13" t="n">
        <f aca="false">SUMIFS('Player Game Log'!$V$5:$V$62,'Player Game Log'!$F$5:$F$62,$B7)</f>
        <v>53</v>
      </c>
      <c r="H7" s="15" t="n">
        <f aca="false">G7/C7</f>
        <v>10.6</v>
      </c>
      <c r="I7" s="13" t="n">
        <f aca="false">SUMIFS('Player Game Log'!$P$5:$P$62,'Player Game Log'!$F$5:$F$62,$B7)</f>
        <v>16</v>
      </c>
      <c r="J7" s="15" t="n">
        <f aca="false">I7/C7</f>
        <v>3.2</v>
      </c>
      <c r="K7" s="13" t="n">
        <f aca="false">SUMIFS('Player Game Log'!$N$5:$N$62,'Player Game Log'!$F$5:$F$62,$B7)</f>
        <v>2</v>
      </c>
      <c r="L7" s="13" t="n">
        <f aca="false">SUMIFS('Player Game Log'!$Q$5:$Q$62,'Player Game Log'!$F$5:$F$62,$B7)</f>
        <v>10</v>
      </c>
      <c r="M7" s="15" t="n">
        <f aca="false">L7/C7</f>
        <v>2</v>
      </c>
      <c r="N7" s="13" t="n">
        <f aca="false">SUMIFS('Player Game Log'!$R$5:$R$62,'Player Game Log'!$F$5:$F$62,$B7)</f>
        <v>10</v>
      </c>
      <c r="O7" s="15" t="n">
        <f aca="false">N7/C7</f>
        <v>2</v>
      </c>
      <c r="P7" s="13" t="n">
        <f aca="false">SUMIFS('Player Game Log'!$S$5:$S$62,'Player Game Log'!$F$5:$F$62,$B7)</f>
        <v>8</v>
      </c>
      <c r="Q7" s="15" t="n">
        <f aca="false">P7/C7</f>
        <v>1.6</v>
      </c>
      <c r="R7" s="13" t="n">
        <f aca="false">SUMIFS('Player Game Log'!$T$5:$T$62,'Player Game Log'!$F$5:$F$62,$B7)</f>
        <v>1</v>
      </c>
      <c r="S7" s="13" t="n">
        <f aca="false">SUMIFS('Player Game Log'!$U$5:$U$62,'Player Game Log'!$F$5:$F$62,$B7)</f>
        <v>15</v>
      </c>
      <c r="T7" s="15" t="n">
        <f aca="false">S7/C7</f>
        <v>3</v>
      </c>
      <c r="U7" s="13" t="n">
        <f aca="false">SUMIFS('Player Game Log'!$H$5:$H$62,'Player Game Log'!$F$5:$F$62,$B7)</f>
        <v>19</v>
      </c>
      <c r="V7" s="13" t="n">
        <f aca="false">SUMIFS('Player Game Log'!$I$5:$I$62,'Player Game Log'!$F$5:$F$62,$B7)</f>
        <v>40</v>
      </c>
      <c r="W7" s="16" t="n">
        <f aca="false">IF(V7=0,"",U7/V7)</f>
        <v>0.475</v>
      </c>
      <c r="X7" s="13" t="n">
        <f aca="false">SUMIFS('Player Game Log'!$J$5:$J$62,'Player Game Log'!$F$5:$F$62,$B7)</f>
        <v>7</v>
      </c>
      <c r="Y7" s="13" t="n">
        <f aca="false">SUMIFS('Player Game Log'!$K$5:$K$62,'Player Game Log'!$F$5:$F$62,$B7)</f>
        <v>19</v>
      </c>
      <c r="Z7" s="16" t="n">
        <f aca="false">IF(Y7=0,"",X7/Y7)</f>
        <v>0.368421052631579</v>
      </c>
      <c r="AA7" s="13" t="n">
        <f aca="false">SUMIFS('Player Game Log'!$L$5:$L$62,'Player Game Log'!$F$5:$F$62,$B7)</f>
        <v>8</v>
      </c>
      <c r="AB7" s="13" t="n">
        <f aca="false">SUMIFS('Player Game Log'!$M$5:$M$62,'Player Game Log'!$F$5:$F$62,$B7)</f>
        <v>9</v>
      </c>
      <c r="AC7" s="16" t="n">
        <f aca="false">IF(AB7=0,"",AA7/AB7)</f>
        <v>0.888888888888889</v>
      </c>
      <c r="AD7" s="16" t="n">
        <f aca="false">IF(V7=0,"",(U7+0.5*X7)/V7)</f>
        <v>0.5625</v>
      </c>
      <c r="AE7" s="16" t="n">
        <f aca="false">IF(V7+AB7=0,"",G7/(2*(V7+0.44*AB7)))</f>
        <v>0.602820746132848</v>
      </c>
      <c r="AF7" s="15" t="n">
        <f aca="false">IF(E7=0,"",G7/E7*40)</f>
        <v>27.5360436420314</v>
      </c>
    </row>
    <row r="8" customFormat="false" ht="15" hidden="false" customHeight="false" outlineLevel="0" collapsed="false">
      <c r="A8" s="13" t="n">
        <v>16</v>
      </c>
      <c r="B8" s="14" t="s">
        <v>86</v>
      </c>
      <c r="C8" s="13" t="n">
        <f aca="false">COUNTIFS('Player Game Log'!$F$5:$F$62,$B8)</f>
        <v>1</v>
      </c>
      <c r="D8" s="13" t="n">
        <f aca="false">COUNTIFS('Player Game Log'!$F$5:$F$62,$B8,'Player Game Log'!$W$5:$W$62,"Yes")</f>
        <v>0</v>
      </c>
      <c r="E8" s="15" t="n">
        <f aca="false">SUMIFS('Player Game Log'!$G$5:$G$62,'Player Game Log'!$F$5:$F$62,$B8)</f>
        <v>9.27</v>
      </c>
      <c r="F8" s="15" t="n">
        <f aca="false">IFERROR(E8/COUNTIFS('Player Game Log'!$F$5:$F$62,$B8,'Player Game Log'!$G$5:$G$62,"&lt;&gt;"),"")</f>
        <v>9.27</v>
      </c>
      <c r="G8" s="13" t="n">
        <f aca="false">SUMIFS('Player Game Log'!$V$5:$V$62,'Player Game Log'!$F$5:$F$62,$B8)</f>
        <v>10</v>
      </c>
      <c r="H8" s="15" t="n">
        <f aca="false">G8/C8</f>
        <v>10</v>
      </c>
      <c r="I8" s="13" t="n">
        <f aca="false">SUMIFS('Player Game Log'!$P$5:$P$62,'Player Game Log'!$F$5:$F$62,$B8)</f>
        <v>4</v>
      </c>
      <c r="J8" s="15" t="n">
        <f aca="false">I8/C8</f>
        <v>4</v>
      </c>
      <c r="K8" s="13" t="n">
        <f aca="false">SUMIFS('Player Game Log'!$N$5:$N$62,'Player Game Log'!$F$5:$F$62,$B8)</f>
        <v>3</v>
      </c>
      <c r="L8" s="13" t="n">
        <f aca="false">SUMIFS('Player Game Log'!$Q$5:$Q$62,'Player Game Log'!$F$5:$F$62,$B8)</f>
        <v>0</v>
      </c>
      <c r="M8" s="15" t="n">
        <f aca="false">L8/C8</f>
        <v>0</v>
      </c>
      <c r="N8" s="13" t="n">
        <f aca="false">SUMIFS('Player Game Log'!$R$5:$R$62,'Player Game Log'!$F$5:$F$62,$B8)</f>
        <v>0</v>
      </c>
      <c r="O8" s="15" t="n">
        <f aca="false">N8/C8</f>
        <v>0</v>
      </c>
      <c r="P8" s="13" t="n">
        <f aca="false">SUMIFS('Player Game Log'!$S$5:$S$62,'Player Game Log'!$F$5:$F$62,$B8)</f>
        <v>1</v>
      </c>
      <c r="Q8" s="15" t="n">
        <f aca="false">P8/C8</f>
        <v>1</v>
      </c>
      <c r="R8" s="13" t="n">
        <f aca="false">SUMIFS('Player Game Log'!$T$5:$T$62,'Player Game Log'!$F$5:$F$62,$B8)</f>
        <v>0</v>
      </c>
      <c r="S8" s="13" t="n">
        <f aca="false">SUMIFS('Player Game Log'!$U$5:$U$62,'Player Game Log'!$F$5:$F$62,$B8)</f>
        <v>0</v>
      </c>
      <c r="T8" s="15" t="n">
        <f aca="false">S8/C8</f>
        <v>0</v>
      </c>
      <c r="U8" s="13" t="n">
        <f aca="false">SUMIFS('Player Game Log'!$H$5:$H$62,'Player Game Log'!$F$5:$F$62,$B8)</f>
        <v>4</v>
      </c>
      <c r="V8" s="13" t="n">
        <f aca="false">SUMIFS('Player Game Log'!$I$5:$I$62,'Player Game Log'!$F$5:$F$62,$B8)</f>
        <v>6</v>
      </c>
      <c r="W8" s="16" t="n">
        <f aca="false">IF(V8=0,"",U8/V8)</f>
        <v>0.666666666666667</v>
      </c>
      <c r="X8" s="13" t="n">
        <f aca="false">SUMIFS('Player Game Log'!$J$5:$J$62,'Player Game Log'!$F$5:$F$62,$B8)</f>
        <v>2</v>
      </c>
      <c r="Y8" s="13" t="n">
        <f aca="false">SUMIFS('Player Game Log'!$K$5:$K$62,'Player Game Log'!$F$5:$F$62,$B8)</f>
        <v>4</v>
      </c>
      <c r="Z8" s="16" t="n">
        <f aca="false">IF(Y8=0,"",X8/Y8)</f>
        <v>0.5</v>
      </c>
      <c r="AA8" s="13" t="n">
        <f aca="false">SUMIFS('Player Game Log'!$L$5:$L$62,'Player Game Log'!$F$5:$F$62,$B8)</f>
        <v>0</v>
      </c>
      <c r="AB8" s="13" t="n">
        <f aca="false">SUMIFS('Player Game Log'!$M$5:$M$62,'Player Game Log'!$F$5:$F$62,$B8)</f>
        <v>0</v>
      </c>
      <c r="AC8" s="16" t="str">
        <f aca="false">IF(AB8=0,"",AA8/AB8)</f>
        <v/>
      </c>
      <c r="AD8" s="16" t="n">
        <f aca="false">IF(V8=0,"",(U8+0.5*X8)/V8)</f>
        <v>0.833333333333333</v>
      </c>
      <c r="AE8" s="16" t="n">
        <f aca="false">IF(V8+AB8=0,"",G8/(2*(V8+0.44*AB8)))</f>
        <v>0.833333333333333</v>
      </c>
      <c r="AF8" s="15" t="n">
        <f aca="false">IF(E8=0,"",G8/E8*40)</f>
        <v>43.1499460625674</v>
      </c>
    </row>
    <row r="9" customFormat="false" ht="15" hidden="false" customHeight="false" outlineLevel="0" collapsed="false">
      <c r="A9" s="13" t="n">
        <v>14</v>
      </c>
      <c r="B9" s="14" t="s">
        <v>60</v>
      </c>
      <c r="C9" s="13" t="n">
        <f aca="false">COUNTIFS('Player Game Log'!$F$5:$F$62,$B9)</f>
        <v>5</v>
      </c>
      <c r="D9" s="13" t="n">
        <f aca="false">COUNTIFS('Player Game Log'!$F$5:$F$62,$B9,'Player Game Log'!$W$5:$W$62,"Yes")</f>
        <v>3</v>
      </c>
      <c r="E9" s="15" t="n">
        <f aca="false">SUMIFS('Player Game Log'!$G$5:$G$62,'Player Game Log'!$F$5:$F$62,$B9)</f>
        <v>87.03</v>
      </c>
      <c r="F9" s="15" t="n">
        <f aca="false">IFERROR(E9/COUNTIFS('Player Game Log'!$F$5:$F$62,$B9,'Player Game Log'!$G$5:$G$62,"&lt;&gt;"),"")</f>
        <v>21.7575</v>
      </c>
      <c r="G9" s="13" t="n">
        <f aca="false">SUMIFS('Player Game Log'!$V$5:$V$62,'Player Game Log'!$F$5:$F$62,$B9)</f>
        <v>44</v>
      </c>
      <c r="H9" s="15" t="n">
        <f aca="false">G9/C9</f>
        <v>8.8</v>
      </c>
      <c r="I9" s="13" t="n">
        <f aca="false">SUMIFS('Player Game Log'!$P$5:$P$62,'Player Game Log'!$F$5:$F$62,$B9)</f>
        <v>21</v>
      </c>
      <c r="J9" s="15" t="n">
        <f aca="false">I9/C9</f>
        <v>4.2</v>
      </c>
      <c r="K9" s="13" t="n">
        <f aca="false">SUMIFS('Player Game Log'!$N$5:$N$62,'Player Game Log'!$F$5:$F$62,$B9)</f>
        <v>8</v>
      </c>
      <c r="L9" s="13" t="n">
        <f aca="false">SUMIFS('Player Game Log'!$Q$5:$Q$62,'Player Game Log'!$F$5:$F$62,$B9)</f>
        <v>5</v>
      </c>
      <c r="M9" s="15" t="n">
        <f aca="false">L9/C9</f>
        <v>1</v>
      </c>
      <c r="N9" s="13" t="n">
        <f aca="false">SUMIFS('Player Game Log'!$R$5:$R$62,'Player Game Log'!$F$5:$F$62,$B9)</f>
        <v>4</v>
      </c>
      <c r="O9" s="15" t="n">
        <f aca="false">N9/C9</f>
        <v>0.8</v>
      </c>
      <c r="P9" s="13" t="n">
        <f aca="false">SUMIFS('Player Game Log'!$S$5:$S$62,'Player Game Log'!$F$5:$F$62,$B9)</f>
        <v>3</v>
      </c>
      <c r="Q9" s="15" t="n">
        <f aca="false">P9/C9</f>
        <v>0.6</v>
      </c>
      <c r="R9" s="13" t="n">
        <f aca="false">SUMIFS('Player Game Log'!$T$5:$T$62,'Player Game Log'!$F$5:$F$62,$B9)</f>
        <v>0</v>
      </c>
      <c r="S9" s="13" t="n">
        <f aca="false">SUMIFS('Player Game Log'!$U$5:$U$62,'Player Game Log'!$F$5:$F$62,$B9)</f>
        <v>13</v>
      </c>
      <c r="T9" s="15" t="n">
        <f aca="false">S9/C9</f>
        <v>2.6</v>
      </c>
      <c r="U9" s="13" t="n">
        <f aca="false">SUMIFS('Player Game Log'!$H$5:$H$62,'Player Game Log'!$F$5:$F$62,$B9)</f>
        <v>17</v>
      </c>
      <c r="V9" s="13" t="n">
        <f aca="false">SUMIFS('Player Game Log'!$I$5:$I$62,'Player Game Log'!$F$5:$F$62,$B9)</f>
        <v>28</v>
      </c>
      <c r="W9" s="16" t="n">
        <f aca="false">IF(V9=0,"",U9/V9)</f>
        <v>0.607142857142857</v>
      </c>
      <c r="X9" s="13" t="n">
        <f aca="false">SUMIFS('Player Game Log'!$J$5:$J$62,'Player Game Log'!$F$5:$F$62,$B9)</f>
        <v>2</v>
      </c>
      <c r="Y9" s="13" t="n">
        <f aca="false">SUMIFS('Player Game Log'!$K$5:$K$62,'Player Game Log'!$F$5:$F$62,$B9)</f>
        <v>6</v>
      </c>
      <c r="Z9" s="16" t="n">
        <f aca="false">IF(Y9=0,"",X9/Y9)</f>
        <v>0.333333333333333</v>
      </c>
      <c r="AA9" s="13" t="n">
        <f aca="false">SUMIFS('Player Game Log'!$L$5:$L$62,'Player Game Log'!$F$5:$F$62,$B9)</f>
        <v>8</v>
      </c>
      <c r="AB9" s="13" t="n">
        <f aca="false">SUMIFS('Player Game Log'!$M$5:$M$62,'Player Game Log'!$F$5:$F$62,$B9)</f>
        <v>12</v>
      </c>
      <c r="AC9" s="16" t="n">
        <f aca="false">IF(AB9=0,"",AA9/AB9)</f>
        <v>0.666666666666667</v>
      </c>
      <c r="AD9" s="16" t="n">
        <f aca="false">IF(V9=0,"",(U9+0.5*X9)/V9)</f>
        <v>0.642857142857143</v>
      </c>
      <c r="AE9" s="16" t="n">
        <f aca="false">IF(V9+AB9=0,"",G9/(2*(V9+0.44*AB9)))</f>
        <v>0.661057692307692</v>
      </c>
      <c r="AF9" s="15" t="n">
        <f aca="false">IF(E9=0,"",G9/E9*40)</f>
        <v>20.2229116396645</v>
      </c>
    </row>
    <row r="10" customFormat="false" ht="15" hidden="false" customHeight="false" outlineLevel="0" collapsed="false">
      <c r="A10" s="13" t="n">
        <v>2</v>
      </c>
      <c r="B10" s="14" t="s">
        <v>65</v>
      </c>
      <c r="C10" s="13" t="n">
        <f aca="false">COUNTIFS('Player Game Log'!$F$5:$F$62,$B10)</f>
        <v>5</v>
      </c>
      <c r="D10" s="13" t="n">
        <f aca="false">COUNTIFS('Player Game Log'!$F$5:$F$62,$B10,'Player Game Log'!$W$5:$W$62,"Yes")</f>
        <v>1</v>
      </c>
      <c r="E10" s="15" t="n">
        <f aca="false">SUMIFS('Player Game Log'!$G$5:$G$62,'Player Game Log'!$F$5:$F$62,$B10)</f>
        <v>79.8</v>
      </c>
      <c r="F10" s="15" t="n">
        <f aca="false">IFERROR(E10/COUNTIFS('Player Game Log'!$F$5:$F$62,$B10,'Player Game Log'!$G$5:$G$62,"&lt;&gt;"),"")</f>
        <v>19.95</v>
      </c>
      <c r="G10" s="13" t="n">
        <f aca="false">SUMIFS('Player Game Log'!$V$5:$V$62,'Player Game Log'!$F$5:$F$62,$B10)</f>
        <v>44</v>
      </c>
      <c r="H10" s="15" t="n">
        <f aca="false">G10/C10</f>
        <v>8.8</v>
      </c>
      <c r="I10" s="13" t="n">
        <f aca="false">SUMIFS('Player Game Log'!$P$5:$P$62,'Player Game Log'!$F$5:$F$62,$B10)</f>
        <v>12</v>
      </c>
      <c r="J10" s="15" t="n">
        <f aca="false">I10/C10</f>
        <v>2.4</v>
      </c>
      <c r="K10" s="13" t="n">
        <f aca="false">SUMIFS('Player Game Log'!$N$5:$N$62,'Player Game Log'!$F$5:$F$62,$B10)</f>
        <v>5</v>
      </c>
      <c r="L10" s="13" t="n">
        <f aca="false">SUMIFS('Player Game Log'!$Q$5:$Q$62,'Player Game Log'!$F$5:$F$62,$B10)</f>
        <v>9</v>
      </c>
      <c r="M10" s="15" t="n">
        <f aca="false">L10/C10</f>
        <v>1.8</v>
      </c>
      <c r="N10" s="13" t="n">
        <f aca="false">SUMIFS('Player Game Log'!$R$5:$R$62,'Player Game Log'!$F$5:$F$62,$B10)</f>
        <v>2</v>
      </c>
      <c r="O10" s="15" t="n">
        <f aca="false">N10/C10</f>
        <v>0.4</v>
      </c>
      <c r="P10" s="13" t="n">
        <f aca="false">SUMIFS('Player Game Log'!$S$5:$S$62,'Player Game Log'!$F$5:$F$62,$B10)</f>
        <v>12</v>
      </c>
      <c r="Q10" s="15" t="n">
        <f aca="false">P10/C10</f>
        <v>2.4</v>
      </c>
      <c r="R10" s="13" t="n">
        <f aca="false">SUMIFS('Player Game Log'!$T$5:$T$62,'Player Game Log'!$F$5:$F$62,$B10)</f>
        <v>2</v>
      </c>
      <c r="S10" s="13" t="n">
        <f aca="false">SUMIFS('Player Game Log'!$U$5:$U$62,'Player Game Log'!$F$5:$F$62,$B10)</f>
        <v>7</v>
      </c>
      <c r="T10" s="15" t="n">
        <f aca="false">S10/C10</f>
        <v>1.4</v>
      </c>
      <c r="U10" s="13" t="n">
        <f aca="false">SUMIFS('Player Game Log'!$H$5:$H$62,'Player Game Log'!$F$5:$F$62,$B10)</f>
        <v>15</v>
      </c>
      <c r="V10" s="13" t="n">
        <f aca="false">SUMIFS('Player Game Log'!$I$5:$I$62,'Player Game Log'!$F$5:$F$62,$B10)</f>
        <v>33</v>
      </c>
      <c r="W10" s="16" t="n">
        <f aca="false">IF(V10=0,"",U10/V10)</f>
        <v>0.454545454545455</v>
      </c>
      <c r="X10" s="13" t="n">
        <f aca="false">SUMIFS('Player Game Log'!$J$5:$J$62,'Player Game Log'!$F$5:$F$62,$B10)</f>
        <v>9</v>
      </c>
      <c r="Y10" s="13" t="n">
        <f aca="false">SUMIFS('Player Game Log'!$K$5:$K$62,'Player Game Log'!$F$5:$F$62,$B10)</f>
        <v>22</v>
      </c>
      <c r="Z10" s="16" t="n">
        <f aca="false">IF(Y10=0,"",X10/Y10)</f>
        <v>0.409090909090909</v>
      </c>
      <c r="AA10" s="13" t="n">
        <f aca="false">SUMIFS('Player Game Log'!$L$5:$L$62,'Player Game Log'!$F$5:$F$62,$B10)</f>
        <v>5</v>
      </c>
      <c r="AB10" s="13" t="n">
        <f aca="false">SUMIFS('Player Game Log'!$M$5:$M$62,'Player Game Log'!$F$5:$F$62,$B10)</f>
        <v>6</v>
      </c>
      <c r="AC10" s="16" t="n">
        <f aca="false">IF(AB10=0,"",AA10/AB10)</f>
        <v>0.833333333333333</v>
      </c>
      <c r="AD10" s="16" t="n">
        <f aca="false">IF(V10=0,"",(U10+0.5*X10)/V10)</f>
        <v>0.590909090909091</v>
      </c>
      <c r="AE10" s="16" t="n">
        <f aca="false">IF(V10+AB10=0,"",G10/(2*(V10+0.44*AB10)))</f>
        <v>0.617283950617284</v>
      </c>
      <c r="AF10" s="15" t="n">
        <f aca="false">IF(E10=0,"",G10/E10*40)</f>
        <v>22.0551378446115</v>
      </c>
    </row>
    <row r="11" customFormat="false" ht="15" hidden="false" customHeight="false" outlineLevel="0" collapsed="false">
      <c r="A11" s="13" t="n">
        <v>34</v>
      </c>
      <c r="B11" s="14" t="s">
        <v>66</v>
      </c>
      <c r="C11" s="13" t="n">
        <f aca="false">COUNTIFS('Player Game Log'!$F$5:$F$62,$B11)</f>
        <v>5</v>
      </c>
      <c r="D11" s="13" t="n">
        <f aca="false">COUNTIFS('Player Game Log'!$F$5:$F$62,$B11,'Player Game Log'!$W$5:$W$62,"Yes")</f>
        <v>2</v>
      </c>
      <c r="E11" s="15" t="n">
        <f aca="false">SUMIFS('Player Game Log'!$G$5:$G$62,'Player Game Log'!$F$5:$F$62,$B11)</f>
        <v>69.97</v>
      </c>
      <c r="F11" s="15" t="n">
        <f aca="false">IFERROR(E11/COUNTIFS('Player Game Log'!$F$5:$F$62,$B11,'Player Game Log'!$G$5:$G$62,"&lt;&gt;"),"")</f>
        <v>17.4925</v>
      </c>
      <c r="G11" s="13" t="n">
        <f aca="false">SUMIFS('Player Game Log'!$V$5:$V$62,'Player Game Log'!$F$5:$F$62,$B11)</f>
        <v>44</v>
      </c>
      <c r="H11" s="15" t="n">
        <f aca="false">G11/C11</f>
        <v>8.8</v>
      </c>
      <c r="I11" s="13" t="n">
        <f aca="false">SUMIFS('Player Game Log'!$P$5:$P$62,'Player Game Log'!$F$5:$F$62,$B11)</f>
        <v>12</v>
      </c>
      <c r="J11" s="15" t="n">
        <f aca="false">I11/C11</f>
        <v>2.4</v>
      </c>
      <c r="K11" s="13" t="n">
        <f aca="false">SUMIFS('Player Game Log'!$N$5:$N$62,'Player Game Log'!$F$5:$F$62,$B11)</f>
        <v>5</v>
      </c>
      <c r="L11" s="13" t="n">
        <f aca="false">SUMIFS('Player Game Log'!$Q$5:$Q$62,'Player Game Log'!$F$5:$F$62,$B11)</f>
        <v>9</v>
      </c>
      <c r="M11" s="15" t="n">
        <f aca="false">L11/C11</f>
        <v>1.8</v>
      </c>
      <c r="N11" s="13" t="n">
        <f aca="false">SUMIFS('Player Game Log'!$R$5:$R$62,'Player Game Log'!$F$5:$F$62,$B11)</f>
        <v>4</v>
      </c>
      <c r="O11" s="15" t="n">
        <f aca="false">N11/C11</f>
        <v>0.8</v>
      </c>
      <c r="P11" s="13" t="n">
        <f aca="false">SUMIFS('Player Game Log'!$S$5:$S$62,'Player Game Log'!$F$5:$F$62,$B11)</f>
        <v>8</v>
      </c>
      <c r="Q11" s="15" t="n">
        <f aca="false">P11/C11</f>
        <v>1.6</v>
      </c>
      <c r="R11" s="13" t="n">
        <f aca="false">SUMIFS('Player Game Log'!$T$5:$T$62,'Player Game Log'!$F$5:$F$62,$B11)</f>
        <v>0</v>
      </c>
      <c r="S11" s="13" t="n">
        <f aca="false">SUMIFS('Player Game Log'!$U$5:$U$62,'Player Game Log'!$F$5:$F$62,$B11)</f>
        <v>3</v>
      </c>
      <c r="T11" s="15" t="n">
        <f aca="false">S11/C11</f>
        <v>0.6</v>
      </c>
      <c r="U11" s="13" t="n">
        <f aca="false">SUMIFS('Player Game Log'!$H$5:$H$62,'Player Game Log'!$F$5:$F$62,$B11)</f>
        <v>14</v>
      </c>
      <c r="V11" s="13" t="n">
        <f aca="false">SUMIFS('Player Game Log'!$I$5:$I$62,'Player Game Log'!$F$5:$F$62,$B11)</f>
        <v>35</v>
      </c>
      <c r="W11" s="16" t="n">
        <f aca="false">IF(V11=0,"",U11/V11)</f>
        <v>0.4</v>
      </c>
      <c r="X11" s="13" t="n">
        <f aca="false">SUMIFS('Player Game Log'!$J$5:$J$62,'Player Game Log'!$F$5:$F$62,$B11)</f>
        <v>10</v>
      </c>
      <c r="Y11" s="13" t="n">
        <f aca="false">SUMIFS('Player Game Log'!$K$5:$K$62,'Player Game Log'!$F$5:$F$62,$B11)</f>
        <v>29</v>
      </c>
      <c r="Z11" s="16" t="n">
        <f aca="false">IF(Y11=0,"",X11/Y11)</f>
        <v>0.344827586206897</v>
      </c>
      <c r="AA11" s="13" t="n">
        <f aca="false">SUMIFS('Player Game Log'!$L$5:$L$62,'Player Game Log'!$F$5:$F$62,$B11)</f>
        <v>6</v>
      </c>
      <c r="AB11" s="13" t="n">
        <f aca="false">SUMIFS('Player Game Log'!$M$5:$M$62,'Player Game Log'!$F$5:$F$62,$B11)</f>
        <v>7</v>
      </c>
      <c r="AC11" s="16" t="n">
        <f aca="false">IF(AB11=0,"",AA11/AB11)</f>
        <v>0.857142857142857</v>
      </c>
      <c r="AD11" s="16" t="n">
        <f aca="false">IF(V11=0,"",(U11+0.5*X11)/V11)</f>
        <v>0.542857142857143</v>
      </c>
      <c r="AE11" s="16" t="n">
        <f aca="false">IF(V11+AB11=0,"",G11/(2*(V11+0.44*AB11)))</f>
        <v>0.577731092436975</v>
      </c>
      <c r="AF11" s="15" t="n">
        <f aca="false">IF(E11=0,"",G11/E11*40)</f>
        <v>25.1536372731171</v>
      </c>
    </row>
    <row r="12" customFormat="false" ht="15" hidden="false" customHeight="false" outlineLevel="0" collapsed="false">
      <c r="A12" s="13" t="n">
        <v>11</v>
      </c>
      <c r="B12" s="14" t="s">
        <v>63</v>
      </c>
      <c r="C12" s="13" t="n">
        <f aca="false">COUNTIFS('Player Game Log'!$F$5:$F$62,$B12)</f>
        <v>5</v>
      </c>
      <c r="D12" s="13" t="n">
        <f aca="false">COUNTIFS('Player Game Log'!$F$5:$F$62,$B12,'Player Game Log'!$W$5:$W$62,"Yes")</f>
        <v>2</v>
      </c>
      <c r="E12" s="15" t="n">
        <f aca="false">SUMIFS('Player Game Log'!$G$5:$G$62,'Player Game Log'!$F$5:$F$62,$B12)</f>
        <v>92.38</v>
      </c>
      <c r="F12" s="15" t="n">
        <f aca="false">IFERROR(E12/COUNTIFS('Player Game Log'!$F$5:$F$62,$B12,'Player Game Log'!$G$5:$G$62,"&lt;&gt;"),"")</f>
        <v>23.095</v>
      </c>
      <c r="G12" s="13" t="n">
        <f aca="false">SUMIFS('Player Game Log'!$V$5:$V$62,'Player Game Log'!$F$5:$F$62,$B12)</f>
        <v>38</v>
      </c>
      <c r="H12" s="15" t="n">
        <f aca="false">G12/C12</f>
        <v>7.6</v>
      </c>
      <c r="I12" s="13" t="n">
        <f aca="false">SUMIFS('Player Game Log'!$P$5:$P$62,'Player Game Log'!$F$5:$F$62,$B12)</f>
        <v>33</v>
      </c>
      <c r="J12" s="15" t="n">
        <f aca="false">I12/C12</f>
        <v>6.6</v>
      </c>
      <c r="K12" s="13" t="n">
        <f aca="false">SUMIFS('Player Game Log'!$N$5:$N$62,'Player Game Log'!$F$5:$F$62,$B12)</f>
        <v>15</v>
      </c>
      <c r="L12" s="13" t="n">
        <f aca="false">SUMIFS('Player Game Log'!$Q$5:$Q$62,'Player Game Log'!$F$5:$F$62,$B12)</f>
        <v>15</v>
      </c>
      <c r="M12" s="15" t="n">
        <f aca="false">L12/C12</f>
        <v>3</v>
      </c>
      <c r="N12" s="13" t="n">
        <f aca="false">SUMIFS('Player Game Log'!$R$5:$R$62,'Player Game Log'!$F$5:$F$62,$B12)</f>
        <v>7</v>
      </c>
      <c r="O12" s="15" t="n">
        <f aca="false">N12/C12</f>
        <v>1.4</v>
      </c>
      <c r="P12" s="13" t="n">
        <f aca="false">SUMIFS('Player Game Log'!$S$5:$S$62,'Player Game Log'!$F$5:$F$62,$B12)</f>
        <v>8</v>
      </c>
      <c r="Q12" s="15" t="n">
        <f aca="false">P12/C12</f>
        <v>1.6</v>
      </c>
      <c r="R12" s="13" t="n">
        <f aca="false">SUMIFS('Player Game Log'!$T$5:$T$62,'Player Game Log'!$F$5:$F$62,$B12)</f>
        <v>4</v>
      </c>
      <c r="S12" s="13" t="n">
        <f aca="false">SUMIFS('Player Game Log'!$U$5:$U$62,'Player Game Log'!$F$5:$F$62,$B12)</f>
        <v>25</v>
      </c>
      <c r="T12" s="18" t="n">
        <f aca="false">S12/C12</f>
        <v>5</v>
      </c>
      <c r="U12" s="13" t="n">
        <f aca="false">SUMIFS('Player Game Log'!$H$5:$H$62,'Player Game Log'!$F$5:$F$62,$B12)</f>
        <v>15</v>
      </c>
      <c r="V12" s="13" t="n">
        <f aca="false">SUMIFS('Player Game Log'!$I$5:$I$62,'Player Game Log'!$F$5:$F$62,$B12)</f>
        <v>29</v>
      </c>
      <c r="W12" s="16" t="n">
        <f aca="false">IF(V12=0,"",U12/V12)</f>
        <v>0.517241379310345</v>
      </c>
      <c r="X12" s="13" t="n">
        <f aca="false">SUMIFS('Player Game Log'!$J$5:$J$62,'Player Game Log'!$F$5:$F$62,$B12)</f>
        <v>0</v>
      </c>
      <c r="Y12" s="13" t="n">
        <f aca="false">SUMIFS('Player Game Log'!$K$5:$K$62,'Player Game Log'!$F$5:$F$62,$B12)</f>
        <v>0</v>
      </c>
      <c r="Z12" s="16" t="str">
        <f aca="false">IF(Y12=0,"",X12/Y12)</f>
        <v/>
      </c>
      <c r="AA12" s="13" t="n">
        <f aca="false">SUMIFS('Player Game Log'!$L$5:$L$62,'Player Game Log'!$F$5:$F$62,$B12)</f>
        <v>8</v>
      </c>
      <c r="AB12" s="13" t="n">
        <f aca="false">SUMIFS('Player Game Log'!$M$5:$M$62,'Player Game Log'!$F$5:$F$62,$B12)</f>
        <v>14</v>
      </c>
      <c r="AC12" s="17" t="n">
        <f aca="false">IF(AB12=0,"",AA12/AB12)</f>
        <v>0.571428571428571</v>
      </c>
      <c r="AD12" s="16" t="n">
        <f aca="false">IF(V12=0,"",(U12+0.5*X12)/V12)</f>
        <v>0.517241379310345</v>
      </c>
      <c r="AE12" s="16" t="n">
        <f aca="false">IF(V12+AB12=0,"",G12/(2*(V12+0.44*AB12)))</f>
        <v>0.540386803185438</v>
      </c>
      <c r="AF12" s="15" t="n">
        <f aca="false">IF(E12=0,"",G12/E12*40)</f>
        <v>16.4537778739987</v>
      </c>
    </row>
    <row r="13" customFormat="false" ht="15" hidden="false" customHeight="false" outlineLevel="0" collapsed="false">
      <c r="A13" s="13" t="n">
        <v>8</v>
      </c>
      <c r="B13" s="14" t="s">
        <v>82</v>
      </c>
      <c r="C13" s="13" t="n">
        <f aca="false">COUNTIFS('Player Game Log'!$F$5:$F$62,$B13)</f>
        <v>2</v>
      </c>
      <c r="D13" s="13" t="n">
        <f aca="false">COUNTIFS('Player Game Log'!$F$5:$F$62,$B13,'Player Game Log'!$W$5:$W$62,"Yes")</f>
        <v>2</v>
      </c>
      <c r="E13" s="15" t="n">
        <f aca="false">SUMIFS('Player Game Log'!$G$5:$G$62,'Player Game Log'!$F$5:$F$62,$B13)</f>
        <v>38.4</v>
      </c>
      <c r="F13" s="15" t="n">
        <f aca="false">IFERROR(E13/COUNTIFS('Player Game Log'!$F$5:$F$62,$B13,'Player Game Log'!$G$5:$G$62,"&lt;&gt;"),"")</f>
        <v>19.2</v>
      </c>
      <c r="G13" s="13" t="n">
        <f aca="false">SUMIFS('Player Game Log'!$V$5:$V$62,'Player Game Log'!$F$5:$F$62,$B13)</f>
        <v>14</v>
      </c>
      <c r="H13" s="15" t="n">
        <f aca="false">G13/C13</f>
        <v>7</v>
      </c>
      <c r="I13" s="13" t="n">
        <f aca="false">SUMIFS('Player Game Log'!$P$5:$P$62,'Player Game Log'!$F$5:$F$62,$B13)</f>
        <v>8</v>
      </c>
      <c r="J13" s="15" t="n">
        <f aca="false">I13/C13</f>
        <v>4</v>
      </c>
      <c r="K13" s="13" t="n">
        <f aca="false">SUMIFS('Player Game Log'!$N$5:$N$62,'Player Game Log'!$F$5:$F$62,$B13)</f>
        <v>1</v>
      </c>
      <c r="L13" s="13" t="n">
        <f aca="false">SUMIFS('Player Game Log'!$Q$5:$Q$62,'Player Game Log'!$F$5:$F$62,$B13)</f>
        <v>1</v>
      </c>
      <c r="M13" s="15" t="n">
        <f aca="false">L13/C13</f>
        <v>0.5</v>
      </c>
      <c r="N13" s="13" t="n">
        <f aca="false">SUMIFS('Player Game Log'!$R$5:$R$62,'Player Game Log'!$F$5:$F$62,$B13)</f>
        <v>2</v>
      </c>
      <c r="O13" s="15" t="n">
        <f aca="false">N13/C13</f>
        <v>1</v>
      </c>
      <c r="P13" s="13" t="n">
        <f aca="false">SUMIFS('Player Game Log'!$S$5:$S$62,'Player Game Log'!$F$5:$F$62,$B13)</f>
        <v>0</v>
      </c>
      <c r="Q13" s="15" t="n">
        <f aca="false">P13/C13</f>
        <v>0</v>
      </c>
      <c r="R13" s="13" t="n">
        <f aca="false">SUMIFS('Player Game Log'!$T$5:$T$62,'Player Game Log'!$F$5:$F$62,$B13)</f>
        <v>0</v>
      </c>
      <c r="S13" s="13" t="n">
        <f aca="false">SUMIFS('Player Game Log'!$U$5:$U$62,'Player Game Log'!$F$5:$F$62,$B13)</f>
        <v>4</v>
      </c>
      <c r="T13" s="15" t="n">
        <f aca="false">S13/C13</f>
        <v>2</v>
      </c>
      <c r="U13" s="13" t="n">
        <f aca="false">SUMIFS('Player Game Log'!$H$5:$H$62,'Player Game Log'!$F$5:$F$62,$B13)</f>
        <v>3</v>
      </c>
      <c r="V13" s="13" t="n">
        <f aca="false">SUMIFS('Player Game Log'!$I$5:$I$62,'Player Game Log'!$F$5:$F$62,$B13)</f>
        <v>8</v>
      </c>
      <c r="W13" s="16" t="n">
        <f aca="false">IF(V13=0,"",U13/V13)</f>
        <v>0.375</v>
      </c>
      <c r="X13" s="13" t="n">
        <f aca="false">SUMIFS('Player Game Log'!$J$5:$J$62,'Player Game Log'!$F$5:$F$62,$B13)</f>
        <v>1</v>
      </c>
      <c r="Y13" s="13" t="n">
        <f aca="false">SUMIFS('Player Game Log'!$K$5:$K$62,'Player Game Log'!$F$5:$F$62,$B13)</f>
        <v>4</v>
      </c>
      <c r="Z13" s="16" t="n">
        <f aca="false">IF(Y13=0,"",X13/Y13)</f>
        <v>0.25</v>
      </c>
      <c r="AA13" s="13" t="n">
        <f aca="false">SUMIFS('Player Game Log'!$L$5:$L$62,'Player Game Log'!$F$5:$F$62,$B13)</f>
        <v>7</v>
      </c>
      <c r="AB13" s="13" t="n">
        <f aca="false">SUMIFS('Player Game Log'!$M$5:$M$62,'Player Game Log'!$F$5:$F$62,$B13)</f>
        <v>9</v>
      </c>
      <c r="AC13" s="16" t="n">
        <f aca="false">IF(AB13=0,"",AA13/AB13)</f>
        <v>0.777777777777778</v>
      </c>
      <c r="AD13" s="16" t="n">
        <f aca="false">IF(V13=0,"",(U13+0.5*X13)/V13)</f>
        <v>0.4375</v>
      </c>
      <c r="AE13" s="16" t="n">
        <f aca="false">IF(V13+AB13=0,"",G13/(2*(V13+0.44*AB13)))</f>
        <v>0.585284280936455</v>
      </c>
      <c r="AF13" s="15" t="n">
        <f aca="false">IF(E13=0,"",G13/E13*40)</f>
        <v>14.5833333333333</v>
      </c>
    </row>
    <row r="14" customFormat="false" ht="15" hidden="false" customHeight="false" outlineLevel="0" collapsed="false">
      <c r="A14" s="13" t="n">
        <v>7</v>
      </c>
      <c r="B14" s="14" t="s">
        <v>59</v>
      </c>
      <c r="C14" s="13" t="n">
        <f aca="false">COUNTIFS('Player Game Log'!$F$5:$F$62,$B14)</f>
        <v>5</v>
      </c>
      <c r="D14" s="13" t="n">
        <f aca="false">COUNTIFS('Player Game Log'!$F$5:$F$62,$B14,'Player Game Log'!$W$5:$W$62,"Yes")</f>
        <v>0</v>
      </c>
      <c r="E14" s="15" t="n">
        <f aca="false">SUMIFS('Player Game Log'!$G$5:$G$62,'Player Game Log'!$F$5:$F$62,$B14)</f>
        <v>59.98</v>
      </c>
      <c r="F14" s="15" t="n">
        <f aca="false">IFERROR(E14/COUNTIFS('Player Game Log'!$F$5:$F$62,$B14,'Player Game Log'!$G$5:$G$62,"&lt;&gt;"),"")</f>
        <v>14.995</v>
      </c>
      <c r="G14" s="13" t="n">
        <f aca="false">SUMIFS('Player Game Log'!$V$5:$V$62,'Player Game Log'!$F$5:$F$62,$B14)</f>
        <v>31</v>
      </c>
      <c r="H14" s="15" t="n">
        <f aca="false">G14/C14</f>
        <v>6.2</v>
      </c>
      <c r="I14" s="13" t="n">
        <f aca="false">SUMIFS('Player Game Log'!$P$5:$P$62,'Player Game Log'!$F$5:$F$62,$B14)</f>
        <v>13</v>
      </c>
      <c r="J14" s="15" t="n">
        <f aca="false">I14/C14</f>
        <v>2.6</v>
      </c>
      <c r="K14" s="13" t="n">
        <f aca="false">SUMIFS('Player Game Log'!$N$5:$N$62,'Player Game Log'!$F$5:$F$62,$B14)</f>
        <v>6</v>
      </c>
      <c r="L14" s="13" t="n">
        <f aca="false">SUMIFS('Player Game Log'!$Q$5:$Q$62,'Player Game Log'!$F$5:$F$62,$B14)</f>
        <v>11</v>
      </c>
      <c r="M14" s="15" t="n">
        <f aca="false">L14/C14</f>
        <v>2.2</v>
      </c>
      <c r="N14" s="13" t="n">
        <f aca="false">SUMIFS('Player Game Log'!$R$5:$R$62,'Player Game Log'!$F$5:$F$62,$B14)</f>
        <v>4</v>
      </c>
      <c r="O14" s="15" t="n">
        <f aca="false">N14/C14</f>
        <v>0.8</v>
      </c>
      <c r="P14" s="13" t="n">
        <f aca="false">SUMIFS('Player Game Log'!$S$5:$S$62,'Player Game Log'!$F$5:$F$62,$B14)</f>
        <v>6</v>
      </c>
      <c r="Q14" s="15" t="n">
        <f aca="false">P14/C14</f>
        <v>1.2</v>
      </c>
      <c r="R14" s="13" t="n">
        <f aca="false">SUMIFS('Player Game Log'!$T$5:$T$62,'Player Game Log'!$F$5:$F$62,$B14)</f>
        <v>1</v>
      </c>
      <c r="S14" s="13" t="n">
        <f aca="false">SUMIFS('Player Game Log'!$U$5:$U$62,'Player Game Log'!$F$5:$F$62,$B14)</f>
        <v>14</v>
      </c>
      <c r="T14" s="15" t="n">
        <f aca="false">S14/C14</f>
        <v>2.8</v>
      </c>
      <c r="U14" s="13" t="n">
        <f aca="false">SUMIFS('Player Game Log'!$H$5:$H$62,'Player Game Log'!$F$5:$F$62,$B14)</f>
        <v>12</v>
      </c>
      <c r="V14" s="13" t="n">
        <f aca="false">SUMIFS('Player Game Log'!$I$5:$I$62,'Player Game Log'!$F$5:$F$62,$B14)</f>
        <v>23</v>
      </c>
      <c r="W14" s="16" t="n">
        <f aca="false">IF(V14=0,"",U14/V14)</f>
        <v>0.521739130434783</v>
      </c>
      <c r="X14" s="13" t="n">
        <f aca="false">SUMIFS('Player Game Log'!$J$5:$J$62,'Player Game Log'!$F$5:$F$62,$B14)</f>
        <v>1</v>
      </c>
      <c r="Y14" s="13" t="n">
        <f aca="false">SUMIFS('Player Game Log'!$K$5:$K$62,'Player Game Log'!$F$5:$F$62,$B14)</f>
        <v>6</v>
      </c>
      <c r="Z14" s="16" t="n">
        <f aca="false">IF(Y14=0,"",X14/Y14)</f>
        <v>0.166666666666667</v>
      </c>
      <c r="AA14" s="13" t="n">
        <f aca="false">SUMIFS('Player Game Log'!$L$5:$L$62,'Player Game Log'!$F$5:$F$62,$B14)</f>
        <v>6</v>
      </c>
      <c r="AB14" s="13" t="n">
        <f aca="false">SUMIFS('Player Game Log'!$M$5:$M$62,'Player Game Log'!$F$5:$F$62,$B14)</f>
        <v>7</v>
      </c>
      <c r="AC14" s="16" t="n">
        <f aca="false">IF(AB14=0,"",AA14/AB14)</f>
        <v>0.857142857142857</v>
      </c>
      <c r="AD14" s="16" t="n">
        <f aca="false">IF(V14=0,"",(U14+0.5*X14)/V14)</f>
        <v>0.543478260869565</v>
      </c>
      <c r="AE14" s="16" t="n">
        <f aca="false">IF(V14+AB14=0,"",G14/(2*(V14+0.44*AB14)))</f>
        <v>0.594325153374233</v>
      </c>
      <c r="AF14" s="15" t="n">
        <f aca="false">IF(E14=0,"",G14/E14*40)</f>
        <v>20.6735578526175</v>
      </c>
    </row>
    <row r="15" customFormat="false" ht="15" hidden="false" customHeight="false" outlineLevel="0" collapsed="false">
      <c r="A15" s="13" t="n">
        <v>4</v>
      </c>
      <c r="B15" s="14" t="s">
        <v>67</v>
      </c>
      <c r="C15" s="13" t="n">
        <f aca="false">COUNTIFS('Player Game Log'!$F$5:$F$62,$B15)</f>
        <v>4</v>
      </c>
      <c r="D15" s="13" t="n">
        <f aca="false">COUNTIFS('Player Game Log'!$F$5:$F$62,$B15,'Player Game Log'!$W$5:$W$62,"Yes")</f>
        <v>0</v>
      </c>
      <c r="E15" s="15" t="n">
        <f aca="false">SUMIFS('Player Game Log'!$G$5:$G$62,'Player Game Log'!$F$5:$F$62,$B15)</f>
        <v>38.82</v>
      </c>
      <c r="F15" s="15" t="n">
        <f aca="false">IFERROR(E15/COUNTIFS('Player Game Log'!$F$5:$F$62,$B15,'Player Game Log'!$G$5:$G$62,"&lt;&gt;"),"")</f>
        <v>12.94</v>
      </c>
      <c r="G15" s="13" t="n">
        <f aca="false">SUMIFS('Player Game Log'!$V$5:$V$62,'Player Game Log'!$F$5:$F$62,$B15)</f>
        <v>17</v>
      </c>
      <c r="H15" s="15" t="n">
        <f aca="false">G15/C15</f>
        <v>4.25</v>
      </c>
      <c r="I15" s="13" t="n">
        <f aca="false">SUMIFS('Player Game Log'!$P$5:$P$62,'Player Game Log'!$F$5:$F$62,$B15)</f>
        <v>12</v>
      </c>
      <c r="J15" s="15" t="n">
        <f aca="false">I15/C15</f>
        <v>3</v>
      </c>
      <c r="K15" s="13" t="n">
        <f aca="false">SUMIFS('Player Game Log'!$N$5:$N$62,'Player Game Log'!$F$5:$F$62,$B15)</f>
        <v>3</v>
      </c>
      <c r="L15" s="13" t="n">
        <f aca="false">SUMIFS('Player Game Log'!$Q$5:$Q$62,'Player Game Log'!$F$5:$F$62,$B15)</f>
        <v>7</v>
      </c>
      <c r="M15" s="15" t="n">
        <f aca="false">L15/C15</f>
        <v>1.75</v>
      </c>
      <c r="N15" s="13" t="n">
        <f aca="false">SUMIFS('Player Game Log'!$R$5:$R$62,'Player Game Log'!$F$5:$F$62,$B15)</f>
        <v>3</v>
      </c>
      <c r="O15" s="15" t="n">
        <f aca="false">N15/C15</f>
        <v>0.75</v>
      </c>
      <c r="P15" s="13" t="n">
        <f aca="false">SUMIFS('Player Game Log'!$S$5:$S$62,'Player Game Log'!$F$5:$F$62,$B15)</f>
        <v>6</v>
      </c>
      <c r="Q15" s="15" t="n">
        <f aca="false">P15/C15</f>
        <v>1.5</v>
      </c>
      <c r="R15" s="13" t="n">
        <f aca="false">SUMIFS('Player Game Log'!$T$5:$T$62,'Player Game Log'!$F$5:$F$62,$B15)</f>
        <v>0</v>
      </c>
      <c r="S15" s="13" t="n">
        <f aca="false">SUMIFS('Player Game Log'!$U$5:$U$62,'Player Game Log'!$F$5:$F$62,$B15)</f>
        <v>4</v>
      </c>
      <c r="T15" s="15" t="n">
        <f aca="false">S15/C15</f>
        <v>1</v>
      </c>
      <c r="U15" s="13" t="n">
        <f aca="false">SUMIFS('Player Game Log'!$H$5:$H$62,'Player Game Log'!$F$5:$F$62,$B15)</f>
        <v>5</v>
      </c>
      <c r="V15" s="13" t="n">
        <f aca="false">SUMIFS('Player Game Log'!$I$5:$I$62,'Player Game Log'!$F$5:$F$62,$B15)</f>
        <v>15</v>
      </c>
      <c r="W15" s="16" t="n">
        <f aca="false">IF(V15=0,"",U15/V15)</f>
        <v>0.333333333333333</v>
      </c>
      <c r="X15" s="13" t="n">
        <f aca="false">SUMIFS('Player Game Log'!$J$5:$J$62,'Player Game Log'!$F$5:$F$62,$B15)</f>
        <v>3</v>
      </c>
      <c r="Y15" s="13" t="n">
        <f aca="false">SUMIFS('Player Game Log'!$K$5:$K$62,'Player Game Log'!$F$5:$F$62,$B15)</f>
        <v>11</v>
      </c>
      <c r="Z15" s="16" t="n">
        <f aca="false">IF(Y15=0,"",X15/Y15)</f>
        <v>0.272727272727273</v>
      </c>
      <c r="AA15" s="13" t="n">
        <f aca="false">SUMIFS('Player Game Log'!$L$5:$L$62,'Player Game Log'!$F$5:$F$62,$B15)</f>
        <v>4</v>
      </c>
      <c r="AB15" s="13" t="n">
        <f aca="false">SUMIFS('Player Game Log'!$M$5:$M$62,'Player Game Log'!$F$5:$F$62,$B15)</f>
        <v>4</v>
      </c>
      <c r="AC15" s="16" t="n">
        <f aca="false">IF(AB15=0,"",AA15/AB15)</f>
        <v>1</v>
      </c>
      <c r="AD15" s="16" t="n">
        <f aca="false">IF(V15=0,"",(U15+0.5*X15)/V15)</f>
        <v>0.433333333333333</v>
      </c>
      <c r="AE15" s="16" t="n">
        <f aca="false">IF(V15+AB15=0,"",G15/(2*(V15+0.44*AB15)))</f>
        <v>0.507159904534606</v>
      </c>
      <c r="AF15" s="15" t="n">
        <f aca="false">IF(E15=0,"",G15/E15*40)</f>
        <v>17.5167439464194</v>
      </c>
    </row>
    <row r="16" customFormat="false" ht="15" hidden="false" customHeight="false" outlineLevel="0" collapsed="false">
      <c r="A16" s="13" t="n">
        <v>23</v>
      </c>
      <c r="B16" s="14" t="s">
        <v>61</v>
      </c>
      <c r="C16" s="13" t="n">
        <f aca="false">COUNTIFS('Player Game Log'!$F$5:$F$62,$B16)</f>
        <v>5</v>
      </c>
      <c r="D16" s="13" t="n">
        <f aca="false">COUNTIFS('Player Game Log'!$F$5:$F$62,$B16,'Player Game Log'!$W$5:$W$62,"Yes")</f>
        <v>1</v>
      </c>
      <c r="E16" s="15" t="n">
        <f aca="false">SUMIFS('Player Game Log'!$G$5:$G$62,'Player Game Log'!$F$5:$F$62,$B16)</f>
        <v>58.35</v>
      </c>
      <c r="F16" s="15" t="n">
        <f aca="false">IFERROR(E16/COUNTIFS('Player Game Log'!$F$5:$F$62,$B16,'Player Game Log'!$G$5:$G$62,"&lt;&gt;"),"")</f>
        <v>14.5875</v>
      </c>
      <c r="G16" s="13" t="n">
        <f aca="false">SUMIFS('Player Game Log'!$V$5:$V$62,'Player Game Log'!$F$5:$F$62,$B16)</f>
        <v>19</v>
      </c>
      <c r="H16" s="15" t="n">
        <f aca="false">G16/C16</f>
        <v>3.8</v>
      </c>
      <c r="I16" s="13" t="n">
        <f aca="false">SUMIFS('Player Game Log'!$P$5:$P$62,'Player Game Log'!$F$5:$F$62,$B16)</f>
        <v>22</v>
      </c>
      <c r="J16" s="15" t="n">
        <f aca="false">I16/C16</f>
        <v>4.4</v>
      </c>
      <c r="K16" s="13" t="n">
        <f aca="false">SUMIFS('Player Game Log'!$N$5:$N$62,'Player Game Log'!$F$5:$F$62,$B16)</f>
        <v>6</v>
      </c>
      <c r="L16" s="13" t="n">
        <f aca="false">SUMIFS('Player Game Log'!$Q$5:$Q$62,'Player Game Log'!$F$5:$F$62,$B16)</f>
        <v>3</v>
      </c>
      <c r="M16" s="15" t="n">
        <f aca="false">L16/C16</f>
        <v>0.6</v>
      </c>
      <c r="N16" s="13" t="n">
        <f aca="false">SUMIFS('Player Game Log'!$R$5:$R$62,'Player Game Log'!$F$5:$F$62,$B16)</f>
        <v>0</v>
      </c>
      <c r="O16" s="15" t="n">
        <f aca="false">N16/C16</f>
        <v>0</v>
      </c>
      <c r="P16" s="13" t="n">
        <f aca="false">SUMIFS('Player Game Log'!$S$5:$S$62,'Player Game Log'!$F$5:$F$62,$B16)</f>
        <v>2</v>
      </c>
      <c r="Q16" s="15" t="n">
        <f aca="false">P16/C16</f>
        <v>0.4</v>
      </c>
      <c r="R16" s="13" t="n">
        <f aca="false">SUMIFS('Player Game Log'!$T$5:$T$62,'Player Game Log'!$F$5:$F$62,$B16)</f>
        <v>1</v>
      </c>
      <c r="S16" s="13" t="n">
        <f aca="false">SUMIFS('Player Game Log'!$U$5:$U$62,'Player Game Log'!$F$5:$F$62,$B16)</f>
        <v>4</v>
      </c>
      <c r="T16" s="15" t="n">
        <f aca="false">S16/C16</f>
        <v>0.8</v>
      </c>
      <c r="U16" s="13" t="n">
        <f aca="false">SUMIFS('Player Game Log'!$H$5:$H$62,'Player Game Log'!$F$5:$F$62,$B16)</f>
        <v>8</v>
      </c>
      <c r="V16" s="13" t="n">
        <f aca="false">SUMIFS('Player Game Log'!$I$5:$I$62,'Player Game Log'!$F$5:$F$62,$B16)</f>
        <v>19</v>
      </c>
      <c r="W16" s="16" t="n">
        <f aca="false">IF(V16=0,"",U16/V16)</f>
        <v>0.421052631578947</v>
      </c>
      <c r="X16" s="13" t="n">
        <f aca="false">SUMIFS('Player Game Log'!$J$5:$J$62,'Player Game Log'!$F$5:$F$62,$B16)</f>
        <v>0</v>
      </c>
      <c r="Y16" s="13" t="n">
        <f aca="false">SUMIFS('Player Game Log'!$K$5:$K$62,'Player Game Log'!$F$5:$F$62,$B16)</f>
        <v>1</v>
      </c>
      <c r="Z16" s="16" t="n">
        <f aca="false">IF(Y16=0,"",X16/Y16)</f>
        <v>0</v>
      </c>
      <c r="AA16" s="13" t="n">
        <f aca="false">SUMIFS('Player Game Log'!$L$5:$L$62,'Player Game Log'!$F$5:$F$62,$B16)</f>
        <v>3</v>
      </c>
      <c r="AB16" s="13" t="n">
        <f aca="false">SUMIFS('Player Game Log'!$M$5:$M$62,'Player Game Log'!$F$5:$F$62,$B16)</f>
        <v>8</v>
      </c>
      <c r="AC16" s="17" t="n">
        <f aca="false">IF(AB16=0,"",AA16/AB16)</f>
        <v>0.375</v>
      </c>
      <c r="AD16" s="16" t="n">
        <f aca="false">IF(V16=0,"",(U16+0.5*X16)/V16)</f>
        <v>0.421052631578947</v>
      </c>
      <c r="AE16" s="16" t="n">
        <f aca="false">IF(V16+AB16=0,"",G16/(2*(V16+0.44*AB16)))</f>
        <v>0.421847246891652</v>
      </c>
      <c r="AF16" s="15" t="n">
        <f aca="false">IF(E16=0,"",G16/E16*40)</f>
        <v>13.0248500428449</v>
      </c>
    </row>
    <row r="17" customFormat="false" ht="15" hidden="false" customHeight="false" outlineLevel="0" collapsed="false">
      <c r="A17" s="13" t="n">
        <v>13</v>
      </c>
      <c r="B17" s="14" t="s">
        <v>68</v>
      </c>
      <c r="C17" s="13" t="n">
        <f aca="false">COUNTIFS('Player Game Log'!$F$5:$F$62,$B17)</f>
        <v>3</v>
      </c>
      <c r="D17" s="13" t="n">
        <f aca="false">COUNTIFS('Player Game Log'!$F$5:$F$62,$B17,'Player Game Log'!$W$5:$W$62,"Yes")</f>
        <v>0</v>
      </c>
      <c r="E17" s="15" t="n">
        <f aca="false">SUMIFS('Player Game Log'!$G$5:$G$62,'Player Game Log'!$F$5:$F$62,$B17)</f>
        <v>11.93</v>
      </c>
      <c r="F17" s="15" t="n">
        <f aca="false">IFERROR(E17/COUNTIFS('Player Game Log'!$F$5:$F$62,$B17,'Player Game Log'!$G$5:$G$62,"&lt;&gt;"),"")</f>
        <v>3.97666666666667</v>
      </c>
      <c r="G17" s="13" t="n">
        <f aca="false">SUMIFS('Player Game Log'!$V$5:$V$62,'Player Game Log'!$F$5:$F$62,$B17)</f>
        <v>3</v>
      </c>
      <c r="H17" s="15" t="n">
        <f aca="false">G17/C17</f>
        <v>1</v>
      </c>
      <c r="I17" s="13" t="n">
        <f aca="false">SUMIFS('Player Game Log'!$P$5:$P$62,'Player Game Log'!$F$5:$F$62,$B17)</f>
        <v>1</v>
      </c>
      <c r="J17" s="15" t="n">
        <f aca="false">I17/C17</f>
        <v>0.333333333333333</v>
      </c>
      <c r="K17" s="13" t="n">
        <f aca="false">SUMIFS('Player Game Log'!$N$5:$N$62,'Player Game Log'!$F$5:$F$62,$B17)</f>
        <v>0</v>
      </c>
      <c r="L17" s="13" t="n">
        <f aca="false">SUMIFS('Player Game Log'!$Q$5:$Q$62,'Player Game Log'!$F$5:$F$62,$B17)</f>
        <v>0</v>
      </c>
      <c r="M17" s="15" t="n">
        <f aca="false">L17/C17</f>
        <v>0</v>
      </c>
      <c r="N17" s="13" t="n">
        <f aca="false">SUMIFS('Player Game Log'!$R$5:$R$62,'Player Game Log'!$F$5:$F$62,$B17)</f>
        <v>0</v>
      </c>
      <c r="O17" s="15" t="n">
        <f aca="false">N17/C17</f>
        <v>0</v>
      </c>
      <c r="P17" s="13" t="n">
        <f aca="false">SUMIFS('Player Game Log'!$S$5:$S$62,'Player Game Log'!$F$5:$F$62,$B17)</f>
        <v>0</v>
      </c>
      <c r="Q17" s="15" t="n">
        <f aca="false">P17/C17</f>
        <v>0</v>
      </c>
      <c r="R17" s="13" t="n">
        <f aca="false">SUMIFS('Player Game Log'!$T$5:$T$62,'Player Game Log'!$F$5:$F$62,$B17)</f>
        <v>0</v>
      </c>
      <c r="S17" s="13" t="n">
        <f aca="false">SUMIFS('Player Game Log'!$U$5:$U$62,'Player Game Log'!$F$5:$F$62,$B17)</f>
        <v>2</v>
      </c>
      <c r="T17" s="15" t="n">
        <f aca="false">S17/C17</f>
        <v>0.666666666666667</v>
      </c>
      <c r="U17" s="13" t="n">
        <f aca="false">SUMIFS('Player Game Log'!$H$5:$H$62,'Player Game Log'!$F$5:$F$62,$B17)</f>
        <v>1</v>
      </c>
      <c r="V17" s="13" t="n">
        <f aca="false">SUMIFS('Player Game Log'!$I$5:$I$62,'Player Game Log'!$F$5:$F$62,$B17)</f>
        <v>4</v>
      </c>
      <c r="W17" s="16" t="n">
        <f aca="false">IF(V17=0,"",U17/V17)</f>
        <v>0.25</v>
      </c>
      <c r="X17" s="13" t="n">
        <f aca="false">SUMIFS('Player Game Log'!$J$5:$J$62,'Player Game Log'!$F$5:$F$62,$B17)</f>
        <v>1</v>
      </c>
      <c r="Y17" s="13" t="n">
        <f aca="false">SUMIFS('Player Game Log'!$K$5:$K$62,'Player Game Log'!$F$5:$F$62,$B17)</f>
        <v>4</v>
      </c>
      <c r="Z17" s="16" t="n">
        <f aca="false">IF(Y17=0,"",X17/Y17)</f>
        <v>0.25</v>
      </c>
      <c r="AA17" s="13" t="n">
        <f aca="false">SUMIFS('Player Game Log'!$L$5:$L$62,'Player Game Log'!$F$5:$F$62,$B17)</f>
        <v>0</v>
      </c>
      <c r="AB17" s="13" t="n">
        <f aca="false">SUMIFS('Player Game Log'!$M$5:$M$62,'Player Game Log'!$F$5:$F$62,$B17)</f>
        <v>0</v>
      </c>
      <c r="AC17" s="16" t="str">
        <f aca="false">IF(AB17=0,"",AA17/AB17)</f>
        <v/>
      </c>
      <c r="AD17" s="16" t="n">
        <f aca="false">IF(V17=0,"",(U17+0.5*X17)/V17)</f>
        <v>0.375</v>
      </c>
      <c r="AE17" s="16" t="n">
        <f aca="false">IF(V17+AB17=0,"",G17/(2*(V17+0.44*AB17)))</f>
        <v>0.375</v>
      </c>
      <c r="AF17" s="15" t="n">
        <f aca="false">IF(E17=0,"",G17/E17*40)</f>
        <v>10.0586756077117</v>
      </c>
    </row>
    <row r="18" customFormat="false" ht="15" hidden="false" customHeight="false" outlineLevel="0" collapsed="false">
      <c r="A18" s="13" t="n">
        <v>25</v>
      </c>
      <c r="B18" s="14" t="s">
        <v>69</v>
      </c>
      <c r="C18" s="13" t="n">
        <f aca="false">COUNTIFS('Player Game Log'!$F$5:$F$62,$B18)</f>
        <v>3</v>
      </c>
      <c r="D18" s="13" t="n">
        <f aca="false">COUNTIFS('Player Game Log'!$F$5:$F$62,$B18,'Player Game Log'!$W$5:$W$62,"Yes")</f>
        <v>0</v>
      </c>
      <c r="E18" s="15" t="n">
        <f aca="false">SUMIFS('Player Game Log'!$G$5:$G$62,'Player Game Log'!$F$5:$F$62,$B18)</f>
        <v>4.03</v>
      </c>
      <c r="F18" s="15" t="n">
        <f aca="false">IFERROR(E18/COUNTIFS('Player Game Log'!$F$5:$F$62,$B18,'Player Game Log'!$G$5:$G$62,"&lt;&gt;"),"")</f>
        <v>1.34333333333333</v>
      </c>
      <c r="G18" s="13" t="n">
        <f aca="false">SUMIFS('Player Game Log'!$V$5:$V$62,'Player Game Log'!$F$5:$F$62,$B18)</f>
        <v>0</v>
      </c>
      <c r="H18" s="15" t="n">
        <f aca="false">G18/C18</f>
        <v>0</v>
      </c>
      <c r="I18" s="13" t="n">
        <f aca="false">SUMIFS('Player Game Log'!$P$5:$P$62,'Player Game Log'!$F$5:$F$62,$B18)</f>
        <v>0</v>
      </c>
      <c r="J18" s="15" t="n">
        <f aca="false">I18/C18</f>
        <v>0</v>
      </c>
      <c r="K18" s="13" t="n">
        <f aca="false">SUMIFS('Player Game Log'!$N$5:$N$62,'Player Game Log'!$F$5:$F$62,$B18)</f>
        <v>0</v>
      </c>
      <c r="L18" s="13" t="n">
        <f aca="false">SUMIFS('Player Game Log'!$Q$5:$Q$62,'Player Game Log'!$F$5:$F$62,$B18)</f>
        <v>0</v>
      </c>
      <c r="M18" s="15" t="n">
        <f aca="false">L18/C18</f>
        <v>0</v>
      </c>
      <c r="N18" s="13" t="n">
        <f aca="false">SUMIFS('Player Game Log'!$R$5:$R$62,'Player Game Log'!$F$5:$F$62,$B18)</f>
        <v>0</v>
      </c>
      <c r="O18" s="15" t="n">
        <f aca="false">N18/C18</f>
        <v>0</v>
      </c>
      <c r="P18" s="13" t="n">
        <f aca="false">SUMIFS('Player Game Log'!$S$5:$S$62,'Player Game Log'!$F$5:$F$62,$B18)</f>
        <v>0</v>
      </c>
      <c r="Q18" s="15" t="n">
        <f aca="false">P18/C18</f>
        <v>0</v>
      </c>
      <c r="R18" s="13" t="n">
        <f aca="false">SUMIFS('Player Game Log'!$T$5:$T$62,'Player Game Log'!$F$5:$F$62,$B18)</f>
        <v>0</v>
      </c>
      <c r="S18" s="13" t="n">
        <f aca="false">SUMIFS('Player Game Log'!$U$5:$U$62,'Player Game Log'!$F$5:$F$62,$B18)</f>
        <v>1</v>
      </c>
      <c r="T18" s="15" t="n">
        <f aca="false">S18/C18</f>
        <v>0.333333333333333</v>
      </c>
      <c r="U18" s="13" t="n">
        <f aca="false">SUMIFS('Player Game Log'!$H$5:$H$62,'Player Game Log'!$F$5:$F$62,$B18)</f>
        <v>0</v>
      </c>
      <c r="V18" s="13" t="n">
        <f aca="false">SUMIFS('Player Game Log'!$I$5:$I$62,'Player Game Log'!$F$5:$F$62,$B18)</f>
        <v>2</v>
      </c>
      <c r="W18" s="16" t="n">
        <f aca="false">IF(V18=0,"",U18/V18)</f>
        <v>0</v>
      </c>
      <c r="X18" s="13" t="n">
        <f aca="false">SUMIFS('Player Game Log'!$J$5:$J$62,'Player Game Log'!$F$5:$F$62,$B18)</f>
        <v>0</v>
      </c>
      <c r="Y18" s="13" t="n">
        <f aca="false">SUMIFS('Player Game Log'!$K$5:$K$62,'Player Game Log'!$F$5:$F$62,$B18)</f>
        <v>0</v>
      </c>
      <c r="Z18" s="16" t="str">
        <f aca="false">IF(Y18=0,"",X18/Y18)</f>
        <v/>
      </c>
      <c r="AA18" s="13" t="n">
        <f aca="false">SUMIFS('Player Game Log'!$L$5:$L$62,'Player Game Log'!$F$5:$F$62,$B18)</f>
        <v>0</v>
      </c>
      <c r="AB18" s="13" t="n">
        <f aca="false">SUMIFS('Player Game Log'!$M$5:$M$62,'Player Game Log'!$F$5:$F$62,$B18)</f>
        <v>0</v>
      </c>
      <c r="AC18" s="16" t="str">
        <f aca="false">IF(AB18=0,"",AA18/AB18)</f>
        <v/>
      </c>
      <c r="AD18" s="16" t="n">
        <f aca="false">IF(V18=0,"",(U18+0.5*X18)/V18)</f>
        <v>0</v>
      </c>
      <c r="AE18" s="16" t="n">
        <f aca="false">IF(V18+AB18=0,"",G18/(2*(V18+0.44*AB18)))</f>
        <v>0</v>
      </c>
      <c r="AF18" s="15" t="n">
        <f aca="false">IF(E18=0,"",G18/E18*40)</f>
        <v>0</v>
      </c>
    </row>
    <row r="19" customFormat="false" ht="15" hidden="false" customHeight="false" outlineLevel="0" collapsed="false">
      <c r="B19" s="3" t="s">
        <v>105</v>
      </c>
      <c r="E19" s="3" t="n">
        <f aca="false">SUM(E5:E18)</f>
        <v>799.99</v>
      </c>
      <c r="G19" s="3" t="n">
        <f aca="false">SUM(G5:G18)</f>
        <v>479</v>
      </c>
      <c r="I19" s="3" t="n">
        <f aca="false">SUM(I5:I18)</f>
        <v>190</v>
      </c>
      <c r="K19" s="3" t="n">
        <f aca="false">SUM(K5:K18)</f>
        <v>62</v>
      </c>
      <c r="L19" s="3" t="n">
        <f aca="false">SUM(L5:L18)</f>
        <v>102</v>
      </c>
      <c r="N19" s="3" t="n">
        <f aca="false">SUM(N5:N18)</f>
        <v>69</v>
      </c>
      <c r="P19" s="3" t="n">
        <f aca="false">SUM(P5:P18)</f>
        <v>77</v>
      </c>
      <c r="R19" s="3" t="n">
        <f aca="false">SUM(R5:R18)</f>
        <v>13</v>
      </c>
      <c r="S19" s="3" t="n">
        <f aca="false">SUM(S5:S18)</f>
        <v>116</v>
      </c>
      <c r="U19" s="3" t="n">
        <f aca="false">SUM(U5:U18)</f>
        <v>172</v>
      </c>
      <c r="V19" s="3" t="n">
        <f aca="false">SUM(V5:V18)</f>
        <v>362</v>
      </c>
      <c r="W19" s="19" t="n">
        <f aca="false">U19/V19</f>
        <v>0.475138121546961</v>
      </c>
      <c r="X19" s="3" t="n">
        <f aca="false">SUM(X5:X18)</f>
        <v>51</v>
      </c>
      <c r="Y19" s="3" t="n">
        <f aca="false">SUM(Y5:Y18)</f>
        <v>162</v>
      </c>
      <c r="Z19" s="19" t="n">
        <f aca="false">X19/Y19</f>
        <v>0.314814814814815</v>
      </c>
      <c r="AA19" s="3" t="n">
        <f aca="false">SUM(AA5:AA18)</f>
        <v>84</v>
      </c>
      <c r="AB19" s="3" t="n">
        <f aca="false">SUM(AB5:AB18)</f>
        <v>114</v>
      </c>
      <c r="AC19" s="19" t="n">
        <f aca="false">AA19/AB19</f>
        <v>0.736842105263158</v>
      </c>
      <c r="AD19" s="19" t="n">
        <f aca="false">(U19+0.5*X19)/V19</f>
        <v>0.545580110497238</v>
      </c>
    </row>
    <row r="21" customFormat="false" ht="15" hidden="false" customHeight="false" outlineLevel="0" collapsed="false">
      <c r="A21" s="2" t="s">
        <v>106</v>
      </c>
    </row>
    <row r="23" customFormat="false" ht="15" hidden="false" customHeight="false" outlineLevel="0" collapsed="false">
      <c r="A23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5"/>
    <col collapsed="false" customWidth="true" hidden="false" outlineLevel="0" max="5" min="5" style="0" width="7"/>
    <col collapsed="false" customWidth="true" hidden="false" outlineLevel="0" max="7" min="6" style="0" width="6"/>
    <col collapsed="false" customWidth="true" hidden="false" outlineLevel="0" max="8" min="8" style="0" width="7"/>
    <col collapsed="false" customWidth="true" hidden="false" outlineLevel="0" max="22" min="9" style="0" width="6"/>
    <col collapsed="false" customWidth="true" hidden="false" outlineLevel="0" max="23" min="23" style="0" width="7"/>
    <col collapsed="false" customWidth="true" hidden="false" outlineLevel="0" max="25" min="24" style="0" width="6"/>
    <col collapsed="false" customWidth="true" hidden="false" outlineLevel="0" max="26" min="26" style="0" width="7"/>
    <col collapsed="false" customWidth="true" hidden="false" outlineLevel="0" max="28" min="27" style="0" width="6"/>
    <col collapsed="false" customWidth="true" hidden="false" outlineLevel="0" max="32" min="29" style="0" width="7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89</v>
      </c>
    </row>
    <row r="4" customFormat="false" ht="30" hidden="false" customHeight="true" outlineLevel="0" collapsed="false">
      <c r="A4" s="9" t="s">
        <v>34</v>
      </c>
      <c r="B4" s="9" t="s">
        <v>35</v>
      </c>
      <c r="C4" s="9" t="s">
        <v>90</v>
      </c>
      <c r="D4" s="9" t="s">
        <v>91</v>
      </c>
      <c r="E4" s="9" t="s">
        <v>36</v>
      </c>
      <c r="F4" s="9" t="s">
        <v>92</v>
      </c>
      <c r="G4" s="9" t="s">
        <v>51</v>
      </c>
      <c r="H4" s="9" t="s">
        <v>93</v>
      </c>
      <c r="I4" s="9" t="s">
        <v>45</v>
      </c>
      <c r="J4" s="9" t="s">
        <v>94</v>
      </c>
      <c r="K4" s="9" t="s">
        <v>43</v>
      </c>
      <c r="L4" s="9" t="s">
        <v>46</v>
      </c>
      <c r="M4" s="9" t="s">
        <v>95</v>
      </c>
      <c r="N4" s="9" t="s">
        <v>47</v>
      </c>
      <c r="O4" s="9" t="s">
        <v>96</v>
      </c>
      <c r="P4" s="9" t="s">
        <v>48</v>
      </c>
      <c r="Q4" s="9" t="s">
        <v>97</v>
      </c>
      <c r="R4" s="9" t="s">
        <v>49</v>
      </c>
      <c r="S4" s="9" t="s">
        <v>50</v>
      </c>
      <c r="T4" s="9" t="s">
        <v>98</v>
      </c>
      <c r="U4" s="9" t="s">
        <v>37</v>
      </c>
      <c r="V4" s="9" t="s">
        <v>38</v>
      </c>
      <c r="W4" s="9" t="s">
        <v>99</v>
      </c>
      <c r="X4" s="9" t="s">
        <v>39</v>
      </c>
      <c r="Y4" s="9" t="s">
        <v>40</v>
      </c>
      <c r="Z4" s="9" t="s">
        <v>100</v>
      </c>
      <c r="AA4" s="9" t="s">
        <v>41</v>
      </c>
      <c r="AB4" s="9" t="s">
        <v>42</v>
      </c>
      <c r="AC4" s="9" t="s">
        <v>101</v>
      </c>
      <c r="AD4" s="9" t="s">
        <v>102</v>
      </c>
      <c r="AE4" s="9" t="s">
        <v>103</v>
      </c>
      <c r="AF4" s="9" t="s">
        <v>104</v>
      </c>
    </row>
    <row r="5" customFormat="false" ht="15" hidden="false" customHeight="false" outlineLevel="0" collapsed="false">
      <c r="A5" s="13" t="n">
        <v>77</v>
      </c>
      <c r="B5" s="14" t="s">
        <v>62</v>
      </c>
      <c r="C5" s="13" t="n">
        <f aca="false">COUNTIFS('Player Game Log'!$F$5:$F$62,$B5,'Player Game Log'!$C$5:$C$62,"October")</f>
        <v>2</v>
      </c>
      <c r="D5" s="13" t="n">
        <f aca="false">COUNTIFS('Player Game Log'!$F$5:$F$62,$B5,'Player Game Log'!$W$5:$W$62,"Yes",'Player Game Log'!$C$5:$C$62,"October")</f>
        <v>2</v>
      </c>
      <c r="E5" s="15" t="n">
        <f aca="false">SUMIFS('Player Game Log'!$G$5:$G$62,'Player Game Log'!$F$5:$F$62,$B5,'Player Game Log'!$C$5:$C$62,"October")</f>
        <v>58.33</v>
      </c>
      <c r="F5" s="15" t="n">
        <f aca="false">IFERROR(E5/COUNTIFS('Player Game Log'!$F$5:$F$62,$B5,'Player Game Log'!$G$5:$G$62,"&lt;&gt;",'Player Game Log'!$C$5:$C$62,"October"),"")</f>
        <v>29.165</v>
      </c>
      <c r="G5" s="13" t="n">
        <f aca="false">SUMIFS('Player Game Log'!$V$5:$V$62,'Player Game Log'!$F$5:$F$62,$B5,'Player Game Log'!$C$5:$C$62,"October")</f>
        <v>47</v>
      </c>
      <c r="H5" s="15" t="n">
        <f aca="false">G5/C5</f>
        <v>23.5</v>
      </c>
      <c r="I5" s="13" t="n">
        <f aca="false">SUMIFS('Player Game Log'!$P$5:$P$62,'Player Game Log'!$F$5:$F$62,$B5,'Player Game Log'!$C$5:$C$62,"October")</f>
        <v>5</v>
      </c>
      <c r="J5" s="15" t="n">
        <f aca="false">I5/C5</f>
        <v>2.5</v>
      </c>
      <c r="K5" s="13" t="n">
        <f aca="false">SUMIFS('Player Game Log'!$N$5:$N$62,'Player Game Log'!$F$5:$F$62,$B5,'Player Game Log'!$C$5:$C$62,"October")</f>
        <v>0</v>
      </c>
      <c r="L5" s="13" t="n">
        <f aca="false">SUMIFS('Player Game Log'!$Q$5:$Q$62,'Player Game Log'!$F$5:$F$62,$B5,'Player Game Log'!$C$5:$C$62,"October")</f>
        <v>7</v>
      </c>
      <c r="M5" s="15" t="n">
        <f aca="false">L5/C5</f>
        <v>3.5</v>
      </c>
      <c r="N5" s="13" t="n">
        <f aca="false">SUMIFS('Player Game Log'!$R$5:$R$62,'Player Game Log'!$F$5:$F$62,$B5,'Player Game Log'!$C$5:$C$62,"October")</f>
        <v>7</v>
      </c>
      <c r="O5" s="15" t="n">
        <f aca="false">N5/C5</f>
        <v>3.5</v>
      </c>
      <c r="P5" s="13" t="n">
        <f aca="false">SUMIFS('Player Game Log'!$S$5:$S$62,'Player Game Log'!$F$5:$F$62,$B5,'Player Game Log'!$C$5:$C$62,"October")</f>
        <v>6</v>
      </c>
      <c r="Q5" s="15" t="n">
        <f aca="false">P5/C5</f>
        <v>3</v>
      </c>
      <c r="R5" s="13" t="n">
        <f aca="false">SUMIFS('Player Game Log'!$T$5:$T$62,'Player Game Log'!$F$5:$F$62,$B5,'Player Game Log'!$C$5:$C$62,"October")</f>
        <v>1</v>
      </c>
      <c r="S5" s="13" t="n">
        <f aca="false">SUMIFS('Player Game Log'!$U$5:$U$62,'Player Game Log'!$F$5:$F$62,$B5,'Player Game Log'!$C$5:$C$62,"October")</f>
        <v>6</v>
      </c>
      <c r="T5" s="15" t="n">
        <f aca="false">S5/C5</f>
        <v>3</v>
      </c>
      <c r="U5" s="13" t="n">
        <f aca="false">SUMIFS('Player Game Log'!$H$5:$H$62,'Player Game Log'!$F$5:$F$62,$B5,'Player Game Log'!$C$5:$C$62,"October")</f>
        <v>15</v>
      </c>
      <c r="V5" s="13" t="n">
        <f aca="false">SUMIFS('Player Game Log'!$I$5:$I$62,'Player Game Log'!$F$5:$F$62,$B5,'Player Game Log'!$C$5:$C$62,"October")</f>
        <v>27</v>
      </c>
      <c r="W5" s="16" t="n">
        <f aca="false">IF(V5=0,"",U5/V5)</f>
        <v>0.555555555555556</v>
      </c>
      <c r="X5" s="13" t="n">
        <f aca="false">SUMIFS('Player Game Log'!$J$5:$J$62,'Player Game Log'!$F$5:$F$62,$B5,'Player Game Log'!$C$5:$C$62,"October")</f>
        <v>3</v>
      </c>
      <c r="Y5" s="13" t="n">
        <f aca="false">SUMIFS('Player Game Log'!$K$5:$K$62,'Player Game Log'!$F$5:$F$62,$B5,'Player Game Log'!$C$5:$C$62,"October")</f>
        <v>10</v>
      </c>
      <c r="Z5" s="16" t="n">
        <f aca="false">IF(Y5=0,"",X5/Y5)</f>
        <v>0.3</v>
      </c>
      <c r="AA5" s="13" t="n">
        <f aca="false">SUMIFS('Player Game Log'!$L$5:$L$62,'Player Game Log'!$F$5:$F$62,$B5,'Player Game Log'!$C$5:$C$62,"October")</f>
        <v>14</v>
      </c>
      <c r="AB5" s="13" t="n">
        <f aca="false">SUMIFS('Player Game Log'!$M$5:$M$62,'Player Game Log'!$F$5:$F$62,$B5,'Player Game Log'!$C$5:$C$62,"October")</f>
        <v>16</v>
      </c>
      <c r="AC5" s="16" t="n">
        <f aca="false">IF(AB5=0,"",AA5/AB5)</f>
        <v>0.875</v>
      </c>
      <c r="AD5" s="16" t="n">
        <f aca="false">IF(V5=0,"",(U5+0.5*X5)/V5)</f>
        <v>0.611111111111111</v>
      </c>
      <c r="AE5" s="16" t="n">
        <f aca="false">IF(V5+AB5=0,"",G5/(2*(V5+0.44*AB5)))</f>
        <v>0.690364277320799</v>
      </c>
      <c r="AF5" s="15" t="n">
        <f aca="false">IF(E5=0,"",G5/E5*40)</f>
        <v>32.2304131664667</v>
      </c>
    </row>
    <row r="6" customFormat="false" ht="15" hidden="false" customHeight="false" outlineLevel="0" collapsed="false">
      <c r="A6" s="13" t="n">
        <v>6</v>
      </c>
      <c r="B6" s="14" t="s">
        <v>57</v>
      </c>
      <c r="C6" s="13" t="n">
        <f aca="false">COUNTIFS('Player Game Log'!$F$5:$F$62,$B6,'Player Game Log'!$C$5:$C$62,"October")</f>
        <v>2</v>
      </c>
      <c r="D6" s="13" t="n">
        <f aca="false">COUNTIFS('Player Game Log'!$F$5:$F$62,$B6,'Player Game Log'!$W$5:$W$62,"Yes",'Player Game Log'!$C$5:$C$62,"October")</f>
        <v>0</v>
      </c>
      <c r="E6" s="15" t="n">
        <f aca="false">SUMIFS('Player Game Log'!$G$5:$G$62,'Player Game Log'!$F$5:$F$62,$B6,'Player Game Log'!$C$5:$C$62,"October")</f>
        <v>39.87</v>
      </c>
      <c r="F6" s="15" t="n">
        <f aca="false">IFERROR(E6/COUNTIFS('Player Game Log'!$F$5:$F$62,$B6,'Player Game Log'!$G$5:$G$62,"&lt;&gt;",'Player Game Log'!$C$5:$C$62,"October"),"")</f>
        <v>19.935</v>
      </c>
      <c r="G6" s="13" t="n">
        <f aca="false">SUMIFS('Player Game Log'!$V$5:$V$62,'Player Game Log'!$F$5:$F$62,$B6,'Player Game Log'!$C$5:$C$62,"October")</f>
        <v>22</v>
      </c>
      <c r="H6" s="15" t="n">
        <f aca="false">G6/C6</f>
        <v>11</v>
      </c>
      <c r="I6" s="13" t="n">
        <f aca="false">SUMIFS('Player Game Log'!$P$5:$P$62,'Player Game Log'!$F$5:$F$62,$B6,'Player Game Log'!$C$5:$C$62,"October")</f>
        <v>7</v>
      </c>
      <c r="J6" s="15" t="n">
        <f aca="false">I6/C6</f>
        <v>3.5</v>
      </c>
      <c r="K6" s="13" t="n">
        <f aca="false">SUMIFS('Player Game Log'!$N$5:$N$62,'Player Game Log'!$F$5:$F$62,$B6,'Player Game Log'!$C$5:$C$62,"October")</f>
        <v>2</v>
      </c>
      <c r="L6" s="13" t="n">
        <f aca="false">SUMIFS('Player Game Log'!$Q$5:$Q$62,'Player Game Log'!$F$5:$F$62,$B6,'Player Game Log'!$C$5:$C$62,"October")</f>
        <v>7</v>
      </c>
      <c r="M6" s="15" t="n">
        <f aca="false">L6/C6</f>
        <v>3.5</v>
      </c>
      <c r="N6" s="13" t="n">
        <f aca="false">SUMIFS('Player Game Log'!$R$5:$R$62,'Player Game Log'!$F$5:$F$62,$B6,'Player Game Log'!$C$5:$C$62,"October")</f>
        <v>4</v>
      </c>
      <c r="O6" s="15" t="n">
        <f aca="false">N6/C6</f>
        <v>2</v>
      </c>
      <c r="P6" s="13" t="n">
        <f aca="false">SUMIFS('Player Game Log'!$S$5:$S$62,'Player Game Log'!$F$5:$F$62,$B6,'Player Game Log'!$C$5:$C$62,"October")</f>
        <v>3</v>
      </c>
      <c r="Q6" s="15" t="n">
        <f aca="false">P6/C6</f>
        <v>1.5</v>
      </c>
      <c r="R6" s="13" t="n">
        <f aca="false">SUMIFS('Player Game Log'!$T$5:$T$62,'Player Game Log'!$F$5:$F$62,$B6,'Player Game Log'!$C$5:$C$62,"October")</f>
        <v>0</v>
      </c>
      <c r="S6" s="13" t="n">
        <f aca="false">SUMIFS('Player Game Log'!$U$5:$U$62,'Player Game Log'!$F$5:$F$62,$B6,'Player Game Log'!$C$5:$C$62,"October")</f>
        <v>4</v>
      </c>
      <c r="T6" s="15" t="n">
        <f aca="false">S6/C6</f>
        <v>2</v>
      </c>
      <c r="U6" s="13" t="n">
        <f aca="false">SUMIFS('Player Game Log'!$H$5:$H$62,'Player Game Log'!$F$5:$F$62,$B6,'Player Game Log'!$C$5:$C$62,"October")</f>
        <v>8</v>
      </c>
      <c r="V6" s="13" t="n">
        <f aca="false">SUMIFS('Player Game Log'!$I$5:$I$62,'Player Game Log'!$F$5:$F$62,$B6,'Player Game Log'!$C$5:$C$62,"October")</f>
        <v>19</v>
      </c>
      <c r="W6" s="16" t="n">
        <f aca="false">IF(V6=0,"",U6/V6)</f>
        <v>0.421052631578947</v>
      </c>
      <c r="X6" s="13" t="n">
        <f aca="false">SUMIFS('Player Game Log'!$J$5:$J$62,'Player Game Log'!$F$5:$F$62,$B6,'Player Game Log'!$C$5:$C$62,"October")</f>
        <v>2</v>
      </c>
      <c r="Y6" s="13" t="n">
        <f aca="false">SUMIFS('Player Game Log'!$K$5:$K$62,'Player Game Log'!$F$5:$F$62,$B6,'Player Game Log'!$C$5:$C$62,"October")</f>
        <v>9</v>
      </c>
      <c r="Z6" s="16" t="n">
        <f aca="false">IF(Y6=0,"",X6/Y6)</f>
        <v>0.222222222222222</v>
      </c>
      <c r="AA6" s="13" t="n">
        <f aca="false">SUMIFS('Player Game Log'!$L$5:$L$62,'Player Game Log'!$F$5:$F$62,$B6,'Player Game Log'!$C$5:$C$62,"October")</f>
        <v>4</v>
      </c>
      <c r="AB6" s="13" t="n">
        <f aca="false">SUMIFS('Player Game Log'!$M$5:$M$62,'Player Game Log'!$F$5:$F$62,$B6,'Player Game Log'!$C$5:$C$62,"October")</f>
        <v>4</v>
      </c>
      <c r="AC6" s="16" t="n">
        <f aca="false">IF(AB6=0,"",AA6/AB6)</f>
        <v>1</v>
      </c>
      <c r="AD6" s="16" t="n">
        <f aca="false">IF(V6=0,"",(U6+0.5*X6)/V6)</f>
        <v>0.473684210526316</v>
      </c>
      <c r="AE6" s="16" t="n">
        <f aca="false">IF(V6+AB6=0,"",G6/(2*(V6+0.44*AB6)))</f>
        <v>0.529865125240848</v>
      </c>
      <c r="AF6" s="15" t="n">
        <f aca="false">IF(E6=0,"",G6/E6*40)</f>
        <v>22.0717331326812</v>
      </c>
    </row>
    <row r="7" customFormat="false" ht="15" hidden="false" customHeight="false" outlineLevel="0" collapsed="false">
      <c r="A7" s="13" t="n">
        <v>34</v>
      </c>
      <c r="B7" s="14" t="s">
        <v>66</v>
      </c>
      <c r="C7" s="13" t="n">
        <f aca="false">COUNTIFS('Player Game Log'!$F$5:$F$62,$B7,'Player Game Log'!$C$5:$C$62,"October")</f>
        <v>2</v>
      </c>
      <c r="D7" s="13" t="n">
        <f aca="false">COUNTIFS('Player Game Log'!$F$5:$F$62,$B7,'Player Game Log'!$W$5:$W$62,"Yes",'Player Game Log'!$C$5:$C$62,"October")</f>
        <v>2</v>
      </c>
      <c r="E7" s="15" t="n">
        <f aca="false">SUMIFS('Player Game Log'!$G$5:$G$62,'Player Game Log'!$F$5:$F$62,$B7,'Player Game Log'!$C$5:$C$62,"October")</f>
        <v>35.22</v>
      </c>
      <c r="F7" s="15" t="n">
        <f aca="false">IFERROR(E7/COUNTIFS('Player Game Log'!$F$5:$F$62,$B7,'Player Game Log'!$G$5:$G$62,"&lt;&gt;",'Player Game Log'!$C$5:$C$62,"October"),"")</f>
        <v>17.61</v>
      </c>
      <c r="G7" s="13" t="n">
        <f aca="false">SUMIFS('Player Game Log'!$V$5:$V$62,'Player Game Log'!$F$5:$F$62,$B7,'Player Game Log'!$C$5:$C$62,"October")</f>
        <v>21</v>
      </c>
      <c r="H7" s="15" t="n">
        <f aca="false">G7/C7</f>
        <v>10.5</v>
      </c>
      <c r="I7" s="13" t="n">
        <f aca="false">SUMIFS('Player Game Log'!$P$5:$P$62,'Player Game Log'!$F$5:$F$62,$B7,'Player Game Log'!$C$5:$C$62,"October")</f>
        <v>5</v>
      </c>
      <c r="J7" s="15" t="n">
        <f aca="false">I7/C7</f>
        <v>2.5</v>
      </c>
      <c r="K7" s="13" t="n">
        <f aca="false">SUMIFS('Player Game Log'!$N$5:$N$62,'Player Game Log'!$F$5:$F$62,$B7,'Player Game Log'!$C$5:$C$62,"October")</f>
        <v>1</v>
      </c>
      <c r="L7" s="13" t="n">
        <f aca="false">SUMIFS('Player Game Log'!$Q$5:$Q$62,'Player Game Log'!$F$5:$F$62,$B7,'Player Game Log'!$C$5:$C$62,"October")</f>
        <v>1</v>
      </c>
      <c r="M7" s="15" t="n">
        <f aca="false">L7/C7</f>
        <v>0.5</v>
      </c>
      <c r="N7" s="13" t="n">
        <f aca="false">SUMIFS('Player Game Log'!$R$5:$R$62,'Player Game Log'!$F$5:$F$62,$B7,'Player Game Log'!$C$5:$C$62,"October")</f>
        <v>2</v>
      </c>
      <c r="O7" s="15" t="n">
        <f aca="false">N7/C7</f>
        <v>1</v>
      </c>
      <c r="P7" s="13" t="n">
        <f aca="false">SUMIFS('Player Game Log'!$S$5:$S$62,'Player Game Log'!$F$5:$F$62,$B7,'Player Game Log'!$C$5:$C$62,"October")</f>
        <v>2</v>
      </c>
      <c r="Q7" s="15" t="n">
        <f aca="false">P7/C7</f>
        <v>1</v>
      </c>
      <c r="R7" s="13" t="n">
        <f aca="false">SUMIFS('Player Game Log'!$T$5:$T$62,'Player Game Log'!$F$5:$F$62,$B7,'Player Game Log'!$C$5:$C$62,"October")</f>
        <v>0</v>
      </c>
      <c r="S7" s="13" t="n">
        <f aca="false">SUMIFS('Player Game Log'!$U$5:$U$62,'Player Game Log'!$F$5:$F$62,$B7,'Player Game Log'!$C$5:$C$62,"October")</f>
        <v>1</v>
      </c>
      <c r="T7" s="15" t="n">
        <f aca="false">S7/C7</f>
        <v>0.5</v>
      </c>
      <c r="U7" s="13" t="n">
        <f aca="false">SUMIFS('Player Game Log'!$H$5:$H$62,'Player Game Log'!$F$5:$F$62,$B7,'Player Game Log'!$C$5:$C$62,"October")</f>
        <v>6</v>
      </c>
      <c r="V7" s="13" t="n">
        <f aca="false">SUMIFS('Player Game Log'!$I$5:$I$62,'Player Game Log'!$F$5:$F$62,$B7,'Player Game Log'!$C$5:$C$62,"October")</f>
        <v>11</v>
      </c>
      <c r="W7" s="16" t="n">
        <f aca="false">IF(V7=0,"",U7/V7)</f>
        <v>0.545454545454545</v>
      </c>
      <c r="X7" s="13" t="n">
        <f aca="false">SUMIFS('Player Game Log'!$J$5:$J$62,'Player Game Log'!$F$5:$F$62,$B7,'Player Game Log'!$C$5:$C$62,"October")</f>
        <v>5</v>
      </c>
      <c r="Y7" s="13" t="n">
        <f aca="false">SUMIFS('Player Game Log'!$K$5:$K$62,'Player Game Log'!$F$5:$F$62,$B7,'Player Game Log'!$C$5:$C$62,"October")</f>
        <v>10</v>
      </c>
      <c r="Z7" s="16" t="n">
        <f aca="false">IF(Y7=0,"",X7/Y7)</f>
        <v>0.5</v>
      </c>
      <c r="AA7" s="13" t="n">
        <f aca="false">SUMIFS('Player Game Log'!$L$5:$L$62,'Player Game Log'!$F$5:$F$62,$B7,'Player Game Log'!$C$5:$C$62,"October")</f>
        <v>4</v>
      </c>
      <c r="AB7" s="13" t="n">
        <f aca="false">SUMIFS('Player Game Log'!$M$5:$M$62,'Player Game Log'!$F$5:$F$62,$B7,'Player Game Log'!$C$5:$C$62,"October")</f>
        <v>5</v>
      </c>
      <c r="AC7" s="16" t="n">
        <f aca="false">IF(AB7=0,"",AA7/AB7)</f>
        <v>0.8</v>
      </c>
      <c r="AD7" s="16" t="n">
        <f aca="false">IF(V7=0,"",(U7+0.5*X7)/V7)</f>
        <v>0.772727272727273</v>
      </c>
      <c r="AE7" s="16" t="n">
        <f aca="false">IF(V7+AB7=0,"",G7/(2*(V7+0.44*AB7)))</f>
        <v>0.795454545454546</v>
      </c>
      <c r="AF7" s="15" t="n">
        <f aca="false">IF(E7=0,"",G7/E7*40)</f>
        <v>23.8500851788756</v>
      </c>
    </row>
    <row r="8" customFormat="false" ht="15" hidden="false" customHeight="false" outlineLevel="0" collapsed="false">
      <c r="A8" s="13" t="n">
        <v>14</v>
      </c>
      <c r="B8" s="14" t="s">
        <v>60</v>
      </c>
      <c r="C8" s="13" t="n">
        <f aca="false">COUNTIFS('Player Game Log'!$F$5:$F$62,$B8,'Player Game Log'!$C$5:$C$62,"October")</f>
        <v>2</v>
      </c>
      <c r="D8" s="13" t="n">
        <f aca="false">COUNTIFS('Player Game Log'!$F$5:$F$62,$B8,'Player Game Log'!$W$5:$W$62,"Yes",'Player Game Log'!$C$5:$C$62,"October")</f>
        <v>2</v>
      </c>
      <c r="E8" s="15" t="n">
        <f aca="false">SUMIFS('Player Game Log'!$G$5:$G$62,'Player Game Log'!$F$5:$F$62,$B8,'Player Game Log'!$C$5:$C$62,"October")</f>
        <v>44.58</v>
      </c>
      <c r="F8" s="15" t="n">
        <f aca="false">IFERROR(E8/COUNTIFS('Player Game Log'!$F$5:$F$62,$B8,'Player Game Log'!$G$5:$G$62,"&lt;&gt;",'Player Game Log'!$C$5:$C$62,"October"),"")</f>
        <v>22.29</v>
      </c>
      <c r="G8" s="13" t="n">
        <f aca="false">SUMIFS('Player Game Log'!$V$5:$V$62,'Player Game Log'!$F$5:$F$62,$B8,'Player Game Log'!$C$5:$C$62,"October")</f>
        <v>21</v>
      </c>
      <c r="H8" s="15" t="n">
        <f aca="false">G8/C8</f>
        <v>10.5</v>
      </c>
      <c r="I8" s="13" t="n">
        <f aca="false">SUMIFS('Player Game Log'!$P$5:$P$62,'Player Game Log'!$F$5:$F$62,$B8,'Player Game Log'!$C$5:$C$62,"October")</f>
        <v>6</v>
      </c>
      <c r="J8" s="15" t="n">
        <f aca="false">I8/C8</f>
        <v>3</v>
      </c>
      <c r="K8" s="13" t="n">
        <f aca="false">SUMIFS('Player Game Log'!$N$5:$N$62,'Player Game Log'!$F$5:$F$62,$B8,'Player Game Log'!$C$5:$C$62,"October")</f>
        <v>4</v>
      </c>
      <c r="L8" s="13" t="n">
        <f aca="false">SUMIFS('Player Game Log'!$Q$5:$Q$62,'Player Game Log'!$F$5:$F$62,$B8,'Player Game Log'!$C$5:$C$62,"October")</f>
        <v>1</v>
      </c>
      <c r="M8" s="15" t="n">
        <f aca="false">L8/C8</f>
        <v>0.5</v>
      </c>
      <c r="N8" s="13" t="n">
        <f aca="false">SUMIFS('Player Game Log'!$R$5:$R$62,'Player Game Log'!$F$5:$F$62,$B8,'Player Game Log'!$C$5:$C$62,"October")</f>
        <v>1</v>
      </c>
      <c r="O8" s="15" t="n">
        <f aca="false">N8/C8</f>
        <v>0.5</v>
      </c>
      <c r="P8" s="13" t="n">
        <f aca="false">SUMIFS('Player Game Log'!$S$5:$S$62,'Player Game Log'!$F$5:$F$62,$B8,'Player Game Log'!$C$5:$C$62,"October")</f>
        <v>0</v>
      </c>
      <c r="Q8" s="15" t="n">
        <f aca="false">P8/C8</f>
        <v>0</v>
      </c>
      <c r="R8" s="13" t="n">
        <f aca="false">SUMIFS('Player Game Log'!$T$5:$T$62,'Player Game Log'!$F$5:$F$62,$B8,'Player Game Log'!$C$5:$C$62,"October")</f>
        <v>0</v>
      </c>
      <c r="S8" s="13" t="n">
        <f aca="false">SUMIFS('Player Game Log'!$U$5:$U$62,'Player Game Log'!$F$5:$F$62,$B8,'Player Game Log'!$C$5:$C$62,"October")</f>
        <v>6</v>
      </c>
      <c r="T8" s="15" t="n">
        <f aca="false">S8/C8</f>
        <v>3</v>
      </c>
      <c r="U8" s="13" t="n">
        <f aca="false">SUMIFS('Player Game Log'!$H$5:$H$62,'Player Game Log'!$F$5:$F$62,$B8,'Player Game Log'!$C$5:$C$62,"October")</f>
        <v>8</v>
      </c>
      <c r="V8" s="13" t="n">
        <f aca="false">SUMIFS('Player Game Log'!$I$5:$I$62,'Player Game Log'!$F$5:$F$62,$B8,'Player Game Log'!$C$5:$C$62,"October")</f>
        <v>11</v>
      </c>
      <c r="W8" s="16" t="n">
        <f aca="false">IF(V8=0,"",U8/V8)</f>
        <v>0.727272727272727</v>
      </c>
      <c r="X8" s="13" t="n">
        <f aca="false">SUMIFS('Player Game Log'!$J$5:$J$62,'Player Game Log'!$F$5:$F$62,$B8,'Player Game Log'!$C$5:$C$62,"October")</f>
        <v>1</v>
      </c>
      <c r="Y8" s="13" t="n">
        <f aca="false">SUMIFS('Player Game Log'!$K$5:$K$62,'Player Game Log'!$F$5:$F$62,$B8,'Player Game Log'!$C$5:$C$62,"October")</f>
        <v>2</v>
      </c>
      <c r="Z8" s="16" t="n">
        <f aca="false">IF(Y8=0,"",X8/Y8)</f>
        <v>0.5</v>
      </c>
      <c r="AA8" s="13" t="n">
        <f aca="false">SUMIFS('Player Game Log'!$L$5:$L$62,'Player Game Log'!$F$5:$F$62,$B8,'Player Game Log'!$C$5:$C$62,"October")</f>
        <v>4</v>
      </c>
      <c r="AB8" s="13" t="n">
        <f aca="false">SUMIFS('Player Game Log'!$M$5:$M$62,'Player Game Log'!$F$5:$F$62,$B8,'Player Game Log'!$C$5:$C$62,"October")</f>
        <v>6</v>
      </c>
      <c r="AC8" s="16" t="n">
        <f aca="false">IF(AB8=0,"",AA8/AB8)</f>
        <v>0.666666666666667</v>
      </c>
      <c r="AD8" s="16" t="n">
        <f aca="false">IF(V8=0,"",(U8+0.5*X8)/V8)</f>
        <v>0.772727272727273</v>
      </c>
      <c r="AE8" s="16" t="n">
        <f aca="false">IF(V8+AB8=0,"",G8/(2*(V8+0.44*AB8)))</f>
        <v>0.769794721407625</v>
      </c>
      <c r="AF8" s="15" t="n">
        <f aca="false">IF(E8=0,"",G8/E8*40)</f>
        <v>18.842530282638</v>
      </c>
    </row>
    <row r="9" customFormat="false" ht="15" hidden="false" customHeight="false" outlineLevel="0" collapsed="false">
      <c r="A9" s="13" t="n">
        <v>16</v>
      </c>
      <c r="B9" s="14" t="s">
        <v>86</v>
      </c>
      <c r="C9" s="13" t="n">
        <f aca="false">COUNTIFS('Player Game Log'!$F$5:$F$62,$B9,'Player Game Log'!$C$5:$C$62,"October")</f>
        <v>1</v>
      </c>
      <c r="D9" s="13" t="n">
        <f aca="false">COUNTIFS('Player Game Log'!$F$5:$F$62,$B9,'Player Game Log'!$W$5:$W$62,"Yes",'Player Game Log'!$C$5:$C$62,"October")</f>
        <v>0</v>
      </c>
      <c r="E9" s="15" t="n">
        <f aca="false">SUMIFS('Player Game Log'!$G$5:$G$62,'Player Game Log'!$F$5:$F$62,$B9,'Player Game Log'!$C$5:$C$62,"October")</f>
        <v>9.27</v>
      </c>
      <c r="F9" s="15" t="n">
        <f aca="false">IFERROR(E9/COUNTIFS('Player Game Log'!$F$5:$F$62,$B9,'Player Game Log'!$G$5:$G$62,"&lt;&gt;",'Player Game Log'!$C$5:$C$62,"October"),"")</f>
        <v>9.27</v>
      </c>
      <c r="G9" s="13" t="n">
        <f aca="false">SUMIFS('Player Game Log'!$V$5:$V$62,'Player Game Log'!$F$5:$F$62,$B9,'Player Game Log'!$C$5:$C$62,"October")</f>
        <v>10</v>
      </c>
      <c r="H9" s="15" t="n">
        <f aca="false">G9/C9</f>
        <v>10</v>
      </c>
      <c r="I9" s="13" t="n">
        <f aca="false">SUMIFS('Player Game Log'!$P$5:$P$62,'Player Game Log'!$F$5:$F$62,$B9,'Player Game Log'!$C$5:$C$62,"October")</f>
        <v>4</v>
      </c>
      <c r="J9" s="15" t="n">
        <f aca="false">I9/C9</f>
        <v>4</v>
      </c>
      <c r="K9" s="13" t="n">
        <f aca="false">SUMIFS('Player Game Log'!$N$5:$N$62,'Player Game Log'!$F$5:$F$62,$B9,'Player Game Log'!$C$5:$C$62,"October")</f>
        <v>3</v>
      </c>
      <c r="L9" s="13" t="n">
        <f aca="false">SUMIFS('Player Game Log'!$Q$5:$Q$62,'Player Game Log'!$F$5:$F$62,$B9,'Player Game Log'!$C$5:$C$62,"October")</f>
        <v>0</v>
      </c>
      <c r="M9" s="15" t="n">
        <f aca="false">L9/C9</f>
        <v>0</v>
      </c>
      <c r="N9" s="13" t="n">
        <f aca="false">SUMIFS('Player Game Log'!$R$5:$R$62,'Player Game Log'!$F$5:$F$62,$B9,'Player Game Log'!$C$5:$C$62,"October")</f>
        <v>0</v>
      </c>
      <c r="O9" s="15" t="n">
        <f aca="false">N9/C9</f>
        <v>0</v>
      </c>
      <c r="P9" s="13" t="n">
        <f aca="false">SUMIFS('Player Game Log'!$S$5:$S$62,'Player Game Log'!$F$5:$F$62,$B9,'Player Game Log'!$C$5:$C$62,"October")</f>
        <v>1</v>
      </c>
      <c r="Q9" s="15" t="n">
        <f aca="false">P9/C9</f>
        <v>1</v>
      </c>
      <c r="R9" s="13" t="n">
        <f aca="false">SUMIFS('Player Game Log'!$T$5:$T$62,'Player Game Log'!$F$5:$F$62,$B9,'Player Game Log'!$C$5:$C$62,"October")</f>
        <v>0</v>
      </c>
      <c r="S9" s="13" t="n">
        <f aca="false">SUMIFS('Player Game Log'!$U$5:$U$62,'Player Game Log'!$F$5:$F$62,$B9,'Player Game Log'!$C$5:$C$62,"October")</f>
        <v>0</v>
      </c>
      <c r="T9" s="15" t="n">
        <f aca="false">S9/C9</f>
        <v>0</v>
      </c>
      <c r="U9" s="13" t="n">
        <f aca="false">SUMIFS('Player Game Log'!$H$5:$H$62,'Player Game Log'!$F$5:$F$62,$B9,'Player Game Log'!$C$5:$C$62,"October")</f>
        <v>4</v>
      </c>
      <c r="V9" s="13" t="n">
        <f aca="false">SUMIFS('Player Game Log'!$I$5:$I$62,'Player Game Log'!$F$5:$F$62,$B9,'Player Game Log'!$C$5:$C$62,"October")</f>
        <v>6</v>
      </c>
      <c r="W9" s="16" t="n">
        <f aca="false">IF(V9=0,"",U9/V9)</f>
        <v>0.666666666666667</v>
      </c>
      <c r="X9" s="13" t="n">
        <f aca="false">SUMIFS('Player Game Log'!$J$5:$J$62,'Player Game Log'!$F$5:$F$62,$B9,'Player Game Log'!$C$5:$C$62,"October")</f>
        <v>2</v>
      </c>
      <c r="Y9" s="13" t="n">
        <f aca="false">SUMIFS('Player Game Log'!$K$5:$K$62,'Player Game Log'!$F$5:$F$62,$B9,'Player Game Log'!$C$5:$C$62,"October")</f>
        <v>4</v>
      </c>
      <c r="Z9" s="16" t="n">
        <f aca="false">IF(Y9=0,"",X9/Y9)</f>
        <v>0.5</v>
      </c>
      <c r="AA9" s="13" t="n">
        <f aca="false">SUMIFS('Player Game Log'!$L$5:$L$62,'Player Game Log'!$F$5:$F$62,$B9,'Player Game Log'!$C$5:$C$62,"October")</f>
        <v>0</v>
      </c>
      <c r="AB9" s="13" t="n">
        <f aca="false">SUMIFS('Player Game Log'!$M$5:$M$62,'Player Game Log'!$F$5:$F$62,$B9,'Player Game Log'!$C$5:$C$62,"October")</f>
        <v>0</v>
      </c>
      <c r="AC9" s="16" t="str">
        <f aca="false">IF(AB9=0,"",AA9/AB9)</f>
        <v/>
      </c>
      <c r="AD9" s="16" t="n">
        <f aca="false">IF(V9=0,"",(U9+0.5*X9)/V9)</f>
        <v>0.833333333333333</v>
      </c>
      <c r="AE9" s="16" t="n">
        <f aca="false">IF(V9+AB9=0,"",G9/(2*(V9+0.44*AB9)))</f>
        <v>0.833333333333333</v>
      </c>
      <c r="AF9" s="15" t="n">
        <f aca="false">IF(E9=0,"",G9/E9*40)</f>
        <v>43.1499460625674</v>
      </c>
    </row>
    <row r="10" customFormat="false" ht="15" hidden="false" customHeight="false" outlineLevel="0" collapsed="false">
      <c r="A10" s="13" t="n">
        <v>0</v>
      </c>
      <c r="B10" s="14" t="s">
        <v>64</v>
      </c>
      <c r="C10" s="13" t="n">
        <f aca="false">COUNTIFS('Player Game Log'!$F$5:$F$62,$B10,'Player Game Log'!$C$5:$C$62,"October")</f>
        <v>2</v>
      </c>
      <c r="D10" s="13" t="n">
        <f aca="false">COUNTIFS('Player Game Log'!$F$5:$F$62,$B10,'Player Game Log'!$W$5:$W$62,"Yes",'Player Game Log'!$C$5:$C$62,"October")</f>
        <v>0</v>
      </c>
      <c r="E10" s="15" t="n">
        <f aca="false">SUMIFS('Player Game Log'!$G$5:$G$62,'Player Game Log'!$F$5:$F$62,$B10,'Player Game Log'!$C$5:$C$62,"October")</f>
        <v>33.08</v>
      </c>
      <c r="F10" s="15" t="n">
        <f aca="false">IFERROR(E10/COUNTIFS('Player Game Log'!$F$5:$F$62,$B10,'Player Game Log'!$G$5:$G$62,"&lt;&gt;",'Player Game Log'!$C$5:$C$62,"October"),"")</f>
        <v>16.54</v>
      </c>
      <c r="G10" s="13" t="n">
        <f aca="false">SUMIFS('Player Game Log'!$V$5:$V$62,'Player Game Log'!$F$5:$F$62,$B10,'Player Game Log'!$C$5:$C$62,"October")</f>
        <v>16</v>
      </c>
      <c r="H10" s="15" t="n">
        <f aca="false">G10/C10</f>
        <v>8</v>
      </c>
      <c r="I10" s="13" t="n">
        <f aca="false">SUMIFS('Player Game Log'!$P$5:$P$62,'Player Game Log'!$F$5:$F$62,$B10,'Player Game Log'!$C$5:$C$62,"October")</f>
        <v>6</v>
      </c>
      <c r="J10" s="15" t="n">
        <f aca="false">I10/C10</f>
        <v>3</v>
      </c>
      <c r="K10" s="13" t="n">
        <f aca="false">SUMIFS('Player Game Log'!$N$5:$N$62,'Player Game Log'!$F$5:$F$62,$B10,'Player Game Log'!$C$5:$C$62,"October")</f>
        <v>1</v>
      </c>
      <c r="L10" s="13" t="n">
        <f aca="false">SUMIFS('Player Game Log'!$Q$5:$Q$62,'Player Game Log'!$F$5:$F$62,$B10,'Player Game Log'!$C$5:$C$62,"October")</f>
        <v>2</v>
      </c>
      <c r="M10" s="15" t="n">
        <f aca="false">L10/C10</f>
        <v>1</v>
      </c>
      <c r="N10" s="13" t="n">
        <f aca="false">SUMIFS('Player Game Log'!$R$5:$R$62,'Player Game Log'!$F$5:$F$62,$B10,'Player Game Log'!$C$5:$C$62,"October")</f>
        <v>8</v>
      </c>
      <c r="O10" s="15" t="n">
        <f aca="false">N10/C10</f>
        <v>4</v>
      </c>
      <c r="P10" s="13" t="n">
        <f aca="false">SUMIFS('Player Game Log'!$S$5:$S$62,'Player Game Log'!$F$5:$F$62,$B10,'Player Game Log'!$C$5:$C$62,"October")</f>
        <v>4</v>
      </c>
      <c r="Q10" s="15" t="n">
        <f aca="false">P10/C10</f>
        <v>2</v>
      </c>
      <c r="R10" s="13" t="n">
        <f aca="false">SUMIFS('Player Game Log'!$T$5:$T$62,'Player Game Log'!$F$5:$F$62,$B10,'Player Game Log'!$C$5:$C$62,"October")</f>
        <v>0</v>
      </c>
      <c r="S10" s="13" t="n">
        <f aca="false">SUMIFS('Player Game Log'!$U$5:$U$62,'Player Game Log'!$F$5:$F$62,$B10,'Player Game Log'!$C$5:$C$62,"October")</f>
        <v>5</v>
      </c>
      <c r="T10" s="15" t="n">
        <f aca="false">S10/C10</f>
        <v>2.5</v>
      </c>
      <c r="U10" s="13" t="n">
        <f aca="false">SUMIFS('Player Game Log'!$H$5:$H$62,'Player Game Log'!$F$5:$F$62,$B10,'Player Game Log'!$C$5:$C$62,"October")</f>
        <v>6</v>
      </c>
      <c r="V10" s="13" t="n">
        <f aca="false">SUMIFS('Player Game Log'!$I$5:$I$62,'Player Game Log'!$F$5:$F$62,$B10,'Player Game Log'!$C$5:$C$62,"October")</f>
        <v>12</v>
      </c>
      <c r="W10" s="16" t="n">
        <f aca="false">IF(V10=0,"",U10/V10)</f>
        <v>0.5</v>
      </c>
      <c r="X10" s="13" t="n">
        <f aca="false">SUMIFS('Player Game Log'!$J$5:$J$62,'Player Game Log'!$F$5:$F$62,$B10,'Player Game Log'!$C$5:$C$62,"October")</f>
        <v>3</v>
      </c>
      <c r="Y10" s="13" t="n">
        <f aca="false">SUMIFS('Player Game Log'!$K$5:$K$62,'Player Game Log'!$F$5:$F$62,$B10,'Player Game Log'!$C$5:$C$62,"October")</f>
        <v>6</v>
      </c>
      <c r="Z10" s="16" t="n">
        <f aca="false">IF(Y10=0,"",X10/Y10)</f>
        <v>0.5</v>
      </c>
      <c r="AA10" s="13" t="n">
        <f aca="false">SUMIFS('Player Game Log'!$L$5:$L$62,'Player Game Log'!$F$5:$F$62,$B10,'Player Game Log'!$C$5:$C$62,"October")</f>
        <v>1</v>
      </c>
      <c r="AB10" s="13" t="n">
        <f aca="false">SUMIFS('Player Game Log'!$M$5:$M$62,'Player Game Log'!$F$5:$F$62,$B10,'Player Game Log'!$C$5:$C$62,"October")</f>
        <v>3</v>
      </c>
      <c r="AC10" s="16" t="n">
        <f aca="false">IF(AB10=0,"",AA10/AB10)</f>
        <v>0.333333333333333</v>
      </c>
      <c r="AD10" s="16" t="n">
        <f aca="false">IF(V10=0,"",(U10+0.5*X10)/V10)</f>
        <v>0.625</v>
      </c>
      <c r="AE10" s="16" t="n">
        <f aca="false">IF(V10+AB10=0,"",G10/(2*(V10+0.44*AB10)))</f>
        <v>0.600600600600601</v>
      </c>
      <c r="AF10" s="15" t="n">
        <f aca="false">IF(E10=0,"",G10/E10*40)</f>
        <v>19.3470374848851</v>
      </c>
    </row>
    <row r="11" customFormat="false" ht="15" hidden="false" customHeight="false" outlineLevel="0" collapsed="false">
      <c r="A11" s="13" t="n">
        <v>11</v>
      </c>
      <c r="B11" s="14" t="s">
        <v>63</v>
      </c>
      <c r="C11" s="13" t="n">
        <f aca="false">COUNTIFS('Player Game Log'!$F$5:$F$62,$B11,'Player Game Log'!$C$5:$C$62,"October")</f>
        <v>2</v>
      </c>
      <c r="D11" s="13" t="n">
        <f aca="false">COUNTIFS('Player Game Log'!$F$5:$F$62,$B11,'Player Game Log'!$W$5:$W$62,"Yes",'Player Game Log'!$C$5:$C$62,"October")</f>
        <v>2</v>
      </c>
      <c r="E11" s="15" t="n">
        <f aca="false">SUMIFS('Player Game Log'!$G$5:$G$62,'Player Game Log'!$F$5:$F$62,$B11,'Player Game Log'!$C$5:$C$62,"October")</f>
        <v>48.48</v>
      </c>
      <c r="F11" s="15" t="n">
        <f aca="false">IFERROR(E11/COUNTIFS('Player Game Log'!$F$5:$F$62,$B11,'Player Game Log'!$G$5:$G$62,"&lt;&gt;",'Player Game Log'!$C$5:$C$62,"October"),"")</f>
        <v>24.24</v>
      </c>
      <c r="G11" s="13" t="n">
        <f aca="false">SUMIFS('Player Game Log'!$V$5:$V$62,'Player Game Log'!$F$5:$F$62,$B11,'Player Game Log'!$C$5:$C$62,"October")</f>
        <v>15</v>
      </c>
      <c r="H11" s="15" t="n">
        <f aca="false">G11/C11</f>
        <v>7.5</v>
      </c>
      <c r="I11" s="13" t="n">
        <f aca="false">SUMIFS('Player Game Log'!$P$5:$P$62,'Player Game Log'!$F$5:$F$62,$B11,'Player Game Log'!$C$5:$C$62,"October")</f>
        <v>11</v>
      </c>
      <c r="J11" s="15" t="n">
        <f aca="false">I11/C11</f>
        <v>5.5</v>
      </c>
      <c r="K11" s="13" t="n">
        <f aca="false">SUMIFS('Player Game Log'!$N$5:$N$62,'Player Game Log'!$F$5:$F$62,$B11,'Player Game Log'!$C$5:$C$62,"October")</f>
        <v>6</v>
      </c>
      <c r="L11" s="13" t="n">
        <f aca="false">SUMIFS('Player Game Log'!$Q$5:$Q$62,'Player Game Log'!$F$5:$F$62,$B11,'Player Game Log'!$C$5:$C$62,"October")</f>
        <v>7</v>
      </c>
      <c r="M11" s="15" t="n">
        <f aca="false">L11/C11</f>
        <v>3.5</v>
      </c>
      <c r="N11" s="13" t="n">
        <f aca="false">SUMIFS('Player Game Log'!$R$5:$R$62,'Player Game Log'!$F$5:$F$62,$B11,'Player Game Log'!$C$5:$C$62,"October")</f>
        <v>1</v>
      </c>
      <c r="O11" s="15" t="n">
        <f aca="false">N11/C11</f>
        <v>0.5</v>
      </c>
      <c r="P11" s="13" t="n">
        <f aca="false">SUMIFS('Player Game Log'!$S$5:$S$62,'Player Game Log'!$F$5:$F$62,$B11,'Player Game Log'!$C$5:$C$62,"October")</f>
        <v>2</v>
      </c>
      <c r="Q11" s="15" t="n">
        <f aca="false">P11/C11</f>
        <v>1</v>
      </c>
      <c r="R11" s="13" t="n">
        <f aca="false">SUMIFS('Player Game Log'!$T$5:$T$62,'Player Game Log'!$F$5:$F$62,$B11,'Player Game Log'!$C$5:$C$62,"October")</f>
        <v>3</v>
      </c>
      <c r="S11" s="13" t="n">
        <f aca="false">SUMIFS('Player Game Log'!$U$5:$U$62,'Player Game Log'!$F$5:$F$62,$B11,'Player Game Log'!$C$5:$C$62,"October")</f>
        <v>5</v>
      </c>
      <c r="T11" s="15" t="n">
        <f aca="false">S11/C11</f>
        <v>2.5</v>
      </c>
      <c r="U11" s="13" t="n">
        <f aca="false">SUMIFS('Player Game Log'!$H$5:$H$62,'Player Game Log'!$F$5:$F$62,$B11,'Player Game Log'!$C$5:$C$62,"October")</f>
        <v>5</v>
      </c>
      <c r="V11" s="13" t="n">
        <f aca="false">SUMIFS('Player Game Log'!$I$5:$I$62,'Player Game Log'!$F$5:$F$62,$B11,'Player Game Log'!$C$5:$C$62,"October")</f>
        <v>14</v>
      </c>
      <c r="W11" s="16" t="n">
        <f aca="false">IF(V11=0,"",U11/V11)</f>
        <v>0.357142857142857</v>
      </c>
      <c r="X11" s="13" t="n">
        <f aca="false">SUMIFS('Player Game Log'!$J$5:$J$62,'Player Game Log'!$F$5:$F$62,$B11,'Player Game Log'!$C$5:$C$62,"October")</f>
        <v>0</v>
      </c>
      <c r="Y11" s="13" t="n">
        <f aca="false">SUMIFS('Player Game Log'!$K$5:$K$62,'Player Game Log'!$F$5:$F$62,$B11,'Player Game Log'!$C$5:$C$62,"October")</f>
        <v>0</v>
      </c>
      <c r="Z11" s="16" t="str">
        <f aca="false">IF(Y11=0,"",X11/Y11)</f>
        <v/>
      </c>
      <c r="AA11" s="13" t="n">
        <f aca="false">SUMIFS('Player Game Log'!$L$5:$L$62,'Player Game Log'!$F$5:$F$62,$B11,'Player Game Log'!$C$5:$C$62,"October")</f>
        <v>5</v>
      </c>
      <c r="AB11" s="13" t="n">
        <f aca="false">SUMIFS('Player Game Log'!$M$5:$M$62,'Player Game Log'!$F$5:$F$62,$B11,'Player Game Log'!$C$5:$C$62,"October")</f>
        <v>7</v>
      </c>
      <c r="AC11" s="16" t="n">
        <f aca="false">IF(AB11=0,"",AA11/AB11)</f>
        <v>0.714285714285714</v>
      </c>
      <c r="AD11" s="16" t="n">
        <f aca="false">IF(V11=0,"",(U11+0.5*X11)/V11)</f>
        <v>0.357142857142857</v>
      </c>
      <c r="AE11" s="16" t="n">
        <f aca="false">IF(V11+AB11=0,"",G11/(2*(V11+0.44*AB11)))</f>
        <v>0.439110070257611</v>
      </c>
      <c r="AF11" s="15" t="n">
        <f aca="false">IF(E11=0,"",G11/E11*40)</f>
        <v>12.3762376237624</v>
      </c>
    </row>
    <row r="12" customFormat="false" ht="15" hidden="false" customHeight="false" outlineLevel="0" collapsed="false">
      <c r="A12" s="13" t="n">
        <v>8</v>
      </c>
      <c r="B12" s="14" t="s">
        <v>82</v>
      </c>
      <c r="C12" s="13" t="n">
        <f aca="false">COUNTIFS('Player Game Log'!$F$5:$F$62,$B12,'Player Game Log'!$C$5:$C$62,"October")</f>
        <v>2</v>
      </c>
      <c r="D12" s="13" t="n">
        <f aca="false">COUNTIFS('Player Game Log'!$F$5:$F$62,$B12,'Player Game Log'!$W$5:$W$62,"Yes",'Player Game Log'!$C$5:$C$62,"October")</f>
        <v>2</v>
      </c>
      <c r="E12" s="15" t="n">
        <f aca="false">SUMIFS('Player Game Log'!$G$5:$G$62,'Player Game Log'!$F$5:$F$62,$B12,'Player Game Log'!$C$5:$C$62,"October")</f>
        <v>38.4</v>
      </c>
      <c r="F12" s="15" t="n">
        <f aca="false">IFERROR(E12/COUNTIFS('Player Game Log'!$F$5:$F$62,$B12,'Player Game Log'!$G$5:$G$62,"&lt;&gt;",'Player Game Log'!$C$5:$C$62,"October"),"")</f>
        <v>19.2</v>
      </c>
      <c r="G12" s="13" t="n">
        <f aca="false">SUMIFS('Player Game Log'!$V$5:$V$62,'Player Game Log'!$F$5:$F$62,$B12,'Player Game Log'!$C$5:$C$62,"October")</f>
        <v>14</v>
      </c>
      <c r="H12" s="15" t="n">
        <f aca="false">G12/C12</f>
        <v>7</v>
      </c>
      <c r="I12" s="13" t="n">
        <f aca="false">SUMIFS('Player Game Log'!$P$5:$P$62,'Player Game Log'!$F$5:$F$62,$B12,'Player Game Log'!$C$5:$C$62,"October")</f>
        <v>8</v>
      </c>
      <c r="J12" s="15" t="n">
        <f aca="false">I12/C12</f>
        <v>4</v>
      </c>
      <c r="K12" s="13" t="n">
        <f aca="false">SUMIFS('Player Game Log'!$N$5:$N$62,'Player Game Log'!$F$5:$F$62,$B12,'Player Game Log'!$C$5:$C$62,"October")</f>
        <v>1</v>
      </c>
      <c r="L12" s="13" t="n">
        <f aca="false">SUMIFS('Player Game Log'!$Q$5:$Q$62,'Player Game Log'!$F$5:$F$62,$B12,'Player Game Log'!$C$5:$C$62,"October")</f>
        <v>1</v>
      </c>
      <c r="M12" s="15" t="n">
        <f aca="false">L12/C12</f>
        <v>0.5</v>
      </c>
      <c r="N12" s="13" t="n">
        <f aca="false">SUMIFS('Player Game Log'!$R$5:$R$62,'Player Game Log'!$F$5:$F$62,$B12,'Player Game Log'!$C$5:$C$62,"October")</f>
        <v>2</v>
      </c>
      <c r="O12" s="15" t="n">
        <f aca="false">N12/C12</f>
        <v>1</v>
      </c>
      <c r="P12" s="13" t="n">
        <f aca="false">SUMIFS('Player Game Log'!$S$5:$S$62,'Player Game Log'!$F$5:$F$62,$B12,'Player Game Log'!$C$5:$C$62,"October")</f>
        <v>0</v>
      </c>
      <c r="Q12" s="15" t="n">
        <f aca="false">P12/C12</f>
        <v>0</v>
      </c>
      <c r="R12" s="13" t="n">
        <f aca="false">SUMIFS('Player Game Log'!$T$5:$T$62,'Player Game Log'!$F$5:$F$62,$B12,'Player Game Log'!$C$5:$C$62,"October")</f>
        <v>0</v>
      </c>
      <c r="S12" s="13" t="n">
        <f aca="false">SUMIFS('Player Game Log'!$U$5:$U$62,'Player Game Log'!$F$5:$F$62,$B12,'Player Game Log'!$C$5:$C$62,"October")</f>
        <v>4</v>
      </c>
      <c r="T12" s="15" t="n">
        <f aca="false">S12/C12</f>
        <v>2</v>
      </c>
      <c r="U12" s="13" t="n">
        <f aca="false">SUMIFS('Player Game Log'!$H$5:$H$62,'Player Game Log'!$F$5:$F$62,$B12,'Player Game Log'!$C$5:$C$62,"October")</f>
        <v>3</v>
      </c>
      <c r="V12" s="13" t="n">
        <f aca="false">SUMIFS('Player Game Log'!$I$5:$I$62,'Player Game Log'!$F$5:$F$62,$B12,'Player Game Log'!$C$5:$C$62,"October")</f>
        <v>8</v>
      </c>
      <c r="W12" s="16" t="n">
        <f aca="false">IF(V12=0,"",U12/V12)</f>
        <v>0.375</v>
      </c>
      <c r="X12" s="13" t="n">
        <f aca="false">SUMIFS('Player Game Log'!$J$5:$J$62,'Player Game Log'!$F$5:$F$62,$B12,'Player Game Log'!$C$5:$C$62,"October")</f>
        <v>1</v>
      </c>
      <c r="Y12" s="13" t="n">
        <f aca="false">SUMIFS('Player Game Log'!$K$5:$K$62,'Player Game Log'!$F$5:$F$62,$B12,'Player Game Log'!$C$5:$C$62,"October")</f>
        <v>4</v>
      </c>
      <c r="Z12" s="16" t="n">
        <f aca="false">IF(Y12=0,"",X12/Y12)</f>
        <v>0.25</v>
      </c>
      <c r="AA12" s="13" t="n">
        <f aca="false">SUMIFS('Player Game Log'!$L$5:$L$62,'Player Game Log'!$F$5:$F$62,$B12,'Player Game Log'!$C$5:$C$62,"October")</f>
        <v>7</v>
      </c>
      <c r="AB12" s="13" t="n">
        <f aca="false">SUMIFS('Player Game Log'!$M$5:$M$62,'Player Game Log'!$F$5:$F$62,$B12,'Player Game Log'!$C$5:$C$62,"October")</f>
        <v>9</v>
      </c>
      <c r="AC12" s="16" t="n">
        <f aca="false">IF(AB12=0,"",AA12/AB12)</f>
        <v>0.777777777777778</v>
      </c>
      <c r="AD12" s="16" t="n">
        <f aca="false">IF(V12=0,"",(U12+0.5*X12)/V12)</f>
        <v>0.4375</v>
      </c>
      <c r="AE12" s="16" t="n">
        <f aca="false">IF(V12+AB12=0,"",G12/(2*(V12+0.44*AB12)))</f>
        <v>0.585284280936455</v>
      </c>
      <c r="AF12" s="15" t="n">
        <f aca="false">IF(E12=0,"",G12/E12*40)</f>
        <v>14.5833333333333</v>
      </c>
    </row>
    <row r="13" customFormat="false" ht="15" hidden="false" customHeight="false" outlineLevel="0" collapsed="false">
      <c r="A13" s="13" t="n">
        <v>23</v>
      </c>
      <c r="B13" s="14" t="s">
        <v>61</v>
      </c>
      <c r="C13" s="13" t="n">
        <f aca="false">COUNTIFS('Player Game Log'!$F$5:$F$62,$B13,'Player Game Log'!$C$5:$C$62,"October")</f>
        <v>2</v>
      </c>
      <c r="D13" s="13" t="n">
        <f aca="false">COUNTIFS('Player Game Log'!$F$5:$F$62,$B13,'Player Game Log'!$W$5:$W$62,"Yes",'Player Game Log'!$C$5:$C$62,"October")</f>
        <v>0</v>
      </c>
      <c r="E13" s="15" t="n">
        <f aca="false">SUMIFS('Player Game Log'!$G$5:$G$62,'Player Game Log'!$F$5:$F$62,$B13,'Player Game Log'!$C$5:$C$62,"October")</f>
        <v>22.25</v>
      </c>
      <c r="F13" s="15" t="n">
        <f aca="false">IFERROR(E13/COUNTIFS('Player Game Log'!$F$5:$F$62,$B13,'Player Game Log'!$G$5:$G$62,"&lt;&gt;",'Player Game Log'!$C$5:$C$62,"October"),"")</f>
        <v>11.125</v>
      </c>
      <c r="G13" s="13" t="n">
        <f aca="false">SUMIFS('Player Game Log'!$V$5:$V$62,'Player Game Log'!$F$5:$F$62,$B13,'Player Game Log'!$C$5:$C$62,"October")</f>
        <v>7</v>
      </c>
      <c r="H13" s="15" t="n">
        <f aca="false">G13/C13</f>
        <v>3.5</v>
      </c>
      <c r="I13" s="13" t="n">
        <f aca="false">SUMIFS('Player Game Log'!$P$5:$P$62,'Player Game Log'!$F$5:$F$62,$B13,'Player Game Log'!$C$5:$C$62,"October")</f>
        <v>6</v>
      </c>
      <c r="J13" s="15" t="n">
        <f aca="false">I13/C13</f>
        <v>3</v>
      </c>
      <c r="K13" s="13" t="n">
        <f aca="false">SUMIFS('Player Game Log'!$N$5:$N$62,'Player Game Log'!$F$5:$F$62,$B13,'Player Game Log'!$C$5:$C$62,"October")</f>
        <v>4</v>
      </c>
      <c r="L13" s="13" t="n">
        <f aca="false">SUMIFS('Player Game Log'!$Q$5:$Q$62,'Player Game Log'!$F$5:$F$62,$B13,'Player Game Log'!$C$5:$C$62,"October")</f>
        <v>0</v>
      </c>
      <c r="M13" s="15" t="n">
        <f aca="false">L13/C13</f>
        <v>0</v>
      </c>
      <c r="N13" s="13" t="n">
        <f aca="false">SUMIFS('Player Game Log'!$R$5:$R$62,'Player Game Log'!$F$5:$F$62,$B13,'Player Game Log'!$C$5:$C$62,"October")</f>
        <v>0</v>
      </c>
      <c r="O13" s="15" t="n">
        <f aca="false">N13/C13</f>
        <v>0</v>
      </c>
      <c r="P13" s="13" t="n">
        <f aca="false">SUMIFS('Player Game Log'!$S$5:$S$62,'Player Game Log'!$F$5:$F$62,$B13,'Player Game Log'!$C$5:$C$62,"October")</f>
        <v>0</v>
      </c>
      <c r="Q13" s="15" t="n">
        <f aca="false">P13/C13</f>
        <v>0</v>
      </c>
      <c r="R13" s="13" t="n">
        <f aca="false">SUMIFS('Player Game Log'!$T$5:$T$62,'Player Game Log'!$F$5:$F$62,$B13,'Player Game Log'!$C$5:$C$62,"October")</f>
        <v>0</v>
      </c>
      <c r="S13" s="13" t="n">
        <f aca="false">SUMIFS('Player Game Log'!$U$5:$U$62,'Player Game Log'!$F$5:$F$62,$B13,'Player Game Log'!$C$5:$C$62,"October")</f>
        <v>3</v>
      </c>
      <c r="T13" s="15" t="n">
        <f aca="false">S13/C13</f>
        <v>1.5</v>
      </c>
      <c r="U13" s="13" t="n">
        <f aca="false">SUMIFS('Player Game Log'!$H$5:$H$62,'Player Game Log'!$F$5:$F$62,$B13,'Player Game Log'!$C$5:$C$62,"October")</f>
        <v>3</v>
      </c>
      <c r="V13" s="13" t="n">
        <f aca="false">SUMIFS('Player Game Log'!$I$5:$I$62,'Player Game Log'!$F$5:$F$62,$B13,'Player Game Log'!$C$5:$C$62,"October")</f>
        <v>8</v>
      </c>
      <c r="W13" s="16" t="n">
        <f aca="false">IF(V13=0,"",U13/V13)</f>
        <v>0.375</v>
      </c>
      <c r="X13" s="13" t="n">
        <f aca="false">SUMIFS('Player Game Log'!$J$5:$J$62,'Player Game Log'!$F$5:$F$62,$B13,'Player Game Log'!$C$5:$C$62,"October")</f>
        <v>0</v>
      </c>
      <c r="Y13" s="13" t="n">
        <f aca="false">SUMIFS('Player Game Log'!$K$5:$K$62,'Player Game Log'!$F$5:$F$62,$B13,'Player Game Log'!$C$5:$C$62,"October")</f>
        <v>0</v>
      </c>
      <c r="Z13" s="16" t="str">
        <f aca="false">IF(Y13=0,"",X13/Y13)</f>
        <v/>
      </c>
      <c r="AA13" s="13" t="n">
        <f aca="false">SUMIFS('Player Game Log'!$L$5:$L$62,'Player Game Log'!$F$5:$F$62,$B13,'Player Game Log'!$C$5:$C$62,"October")</f>
        <v>1</v>
      </c>
      <c r="AB13" s="13" t="n">
        <f aca="false">SUMIFS('Player Game Log'!$M$5:$M$62,'Player Game Log'!$F$5:$F$62,$B13,'Player Game Log'!$C$5:$C$62,"October")</f>
        <v>2</v>
      </c>
      <c r="AC13" s="16" t="n">
        <f aca="false">IF(AB13=0,"",AA13/AB13)</f>
        <v>0.5</v>
      </c>
      <c r="AD13" s="16" t="n">
        <f aca="false">IF(V13=0,"",(U13+0.5*X13)/V13)</f>
        <v>0.375</v>
      </c>
      <c r="AE13" s="16" t="n">
        <f aca="false">IF(V13+AB13=0,"",G13/(2*(V13+0.44*AB13)))</f>
        <v>0.394144144144144</v>
      </c>
      <c r="AF13" s="15" t="n">
        <f aca="false">IF(E13=0,"",G13/E13*40)</f>
        <v>12.5842696629213</v>
      </c>
    </row>
    <row r="14" customFormat="false" ht="15" hidden="false" customHeight="false" outlineLevel="0" collapsed="false">
      <c r="A14" s="13" t="n">
        <v>2</v>
      </c>
      <c r="B14" s="14" t="s">
        <v>65</v>
      </c>
      <c r="C14" s="13" t="n">
        <f aca="false">COUNTIFS('Player Game Log'!$F$5:$F$62,$B14,'Player Game Log'!$C$5:$C$62,"October")</f>
        <v>2</v>
      </c>
      <c r="D14" s="13" t="n">
        <f aca="false">COUNTIFS('Player Game Log'!$F$5:$F$62,$B14,'Player Game Log'!$W$5:$W$62,"Yes",'Player Game Log'!$C$5:$C$62,"October")</f>
        <v>0</v>
      </c>
      <c r="E14" s="15" t="n">
        <f aca="false">SUMIFS('Player Game Log'!$G$5:$G$62,'Player Game Log'!$F$5:$F$62,$B14,'Player Game Log'!$C$5:$C$62,"October")</f>
        <v>40.08</v>
      </c>
      <c r="F14" s="15" t="n">
        <f aca="false">IFERROR(E14/COUNTIFS('Player Game Log'!$F$5:$F$62,$B14,'Player Game Log'!$G$5:$G$62,"&lt;&gt;",'Player Game Log'!$C$5:$C$62,"October"),"")</f>
        <v>20.04</v>
      </c>
      <c r="G14" s="13" t="n">
        <f aca="false">SUMIFS('Player Game Log'!$V$5:$V$62,'Player Game Log'!$F$5:$F$62,$B14,'Player Game Log'!$C$5:$C$62,"October")</f>
        <v>6</v>
      </c>
      <c r="H14" s="15" t="n">
        <f aca="false">G14/C14</f>
        <v>3</v>
      </c>
      <c r="I14" s="13" t="n">
        <f aca="false">SUMIFS('Player Game Log'!$P$5:$P$62,'Player Game Log'!$F$5:$F$62,$B14,'Player Game Log'!$C$5:$C$62,"October")</f>
        <v>3</v>
      </c>
      <c r="J14" s="15" t="n">
        <f aca="false">I14/C14</f>
        <v>1.5</v>
      </c>
      <c r="K14" s="13" t="n">
        <f aca="false">SUMIFS('Player Game Log'!$N$5:$N$62,'Player Game Log'!$F$5:$F$62,$B14,'Player Game Log'!$C$5:$C$62,"October")</f>
        <v>1</v>
      </c>
      <c r="L14" s="13" t="n">
        <f aca="false">SUMIFS('Player Game Log'!$Q$5:$Q$62,'Player Game Log'!$F$5:$F$62,$B14,'Player Game Log'!$C$5:$C$62,"October")</f>
        <v>1</v>
      </c>
      <c r="M14" s="15" t="n">
        <f aca="false">L14/C14</f>
        <v>0.5</v>
      </c>
      <c r="N14" s="13" t="n">
        <f aca="false">SUMIFS('Player Game Log'!$R$5:$R$62,'Player Game Log'!$F$5:$F$62,$B14,'Player Game Log'!$C$5:$C$62,"October")</f>
        <v>0</v>
      </c>
      <c r="O14" s="15" t="n">
        <f aca="false">N14/C14</f>
        <v>0</v>
      </c>
      <c r="P14" s="13" t="n">
        <f aca="false">SUMIFS('Player Game Log'!$S$5:$S$62,'Player Game Log'!$F$5:$F$62,$B14,'Player Game Log'!$C$5:$C$62,"October")</f>
        <v>1</v>
      </c>
      <c r="Q14" s="15" t="n">
        <f aca="false">P14/C14</f>
        <v>0.5</v>
      </c>
      <c r="R14" s="13" t="n">
        <f aca="false">SUMIFS('Player Game Log'!$T$5:$T$62,'Player Game Log'!$F$5:$F$62,$B14,'Player Game Log'!$C$5:$C$62,"October")</f>
        <v>1</v>
      </c>
      <c r="S14" s="13" t="n">
        <f aca="false">SUMIFS('Player Game Log'!$U$5:$U$62,'Player Game Log'!$F$5:$F$62,$B14,'Player Game Log'!$C$5:$C$62,"October")</f>
        <v>2</v>
      </c>
      <c r="T14" s="15" t="n">
        <f aca="false">S14/C14</f>
        <v>1</v>
      </c>
      <c r="U14" s="13" t="n">
        <f aca="false">SUMIFS('Player Game Log'!$H$5:$H$62,'Player Game Log'!$F$5:$F$62,$B14,'Player Game Log'!$C$5:$C$62,"October")</f>
        <v>1</v>
      </c>
      <c r="V14" s="13" t="n">
        <f aca="false">SUMIFS('Player Game Log'!$I$5:$I$62,'Player Game Log'!$F$5:$F$62,$B14,'Player Game Log'!$C$5:$C$62,"October")</f>
        <v>8</v>
      </c>
      <c r="W14" s="16" t="n">
        <f aca="false">IF(V14=0,"",U14/V14)</f>
        <v>0.125</v>
      </c>
      <c r="X14" s="13" t="n">
        <f aca="false">SUMIFS('Player Game Log'!$J$5:$J$62,'Player Game Log'!$F$5:$F$62,$B14,'Player Game Log'!$C$5:$C$62,"October")</f>
        <v>1</v>
      </c>
      <c r="Y14" s="13" t="n">
        <f aca="false">SUMIFS('Player Game Log'!$K$5:$K$62,'Player Game Log'!$F$5:$F$62,$B14,'Player Game Log'!$C$5:$C$62,"October")</f>
        <v>6</v>
      </c>
      <c r="Z14" s="16" t="n">
        <f aca="false">IF(Y14=0,"",X14/Y14)</f>
        <v>0.166666666666667</v>
      </c>
      <c r="AA14" s="13" t="n">
        <f aca="false">SUMIFS('Player Game Log'!$L$5:$L$62,'Player Game Log'!$F$5:$F$62,$B14,'Player Game Log'!$C$5:$C$62,"October")</f>
        <v>3</v>
      </c>
      <c r="AB14" s="13" t="n">
        <f aca="false">SUMIFS('Player Game Log'!$M$5:$M$62,'Player Game Log'!$F$5:$F$62,$B14,'Player Game Log'!$C$5:$C$62,"October")</f>
        <v>4</v>
      </c>
      <c r="AC14" s="16" t="n">
        <f aca="false">IF(AB14=0,"",AA14/AB14)</f>
        <v>0.75</v>
      </c>
      <c r="AD14" s="16" t="n">
        <f aca="false">IF(V14=0,"",(U14+0.5*X14)/V14)</f>
        <v>0.1875</v>
      </c>
      <c r="AE14" s="16" t="n">
        <f aca="false">IF(V14+AB14=0,"",G14/(2*(V14+0.44*AB14)))</f>
        <v>0.307377049180328</v>
      </c>
      <c r="AF14" s="15" t="n">
        <f aca="false">IF(E14=0,"",G14/E14*40)</f>
        <v>5.98802395209581</v>
      </c>
    </row>
    <row r="15" customFormat="false" ht="15" hidden="false" customHeight="false" outlineLevel="0" collapsed="false">
      <c r="A15" s="13" t="n">
        <v>13</v>
      </c>
      <c r="B15" s="14" t="s">
        <v>68</v>
      </c>
      <c r="C15" s="13" t="n">
        <f aca="false">COUNTIFS('Player Game Log'!$F$5:$F$62,$B15,'Player Game Log'!$C$5:$C$62,"October")</f>
        <v>1</v>
      </c>
      <c r="D15" s="13" t="n">
        <f aca="false">COUNTIFS('Player Game Log'!$F$5:$F$62,$B15,'Player Game Log'!$W$5:$W$62,"Yes",'Player Game Log'!$C$5:$C$62,"October")</f>
        <v>0</v>
      </c>
      <c r="E15" s="15" t="n">
        <f aca="false">SUMIFS('Player Game Log'!$G$5:$G$62,'Player Game Log'!$F$5:$F$62,$B15,'Player Game Log'!$C$5:$C$62,"October")</f>
        <v>3.25</v>
      </c>
      <c r="F15" s="15" t="n">
        <f aca="false">IFERROR(E15/COUNTIFS('Player Game Log'!$F$5:$F$62,$B15,'Player Game Log'!$G$5:$G$62,"&lt;&gt;",'Player Game Log'!$C$5:$C$62,"October"),"")</f>
        <v>3.25</v>
      </c>
      <c r="G15" s="13" t="n">
        <f aca="false">SUMIFS('Player Game Log'!$V$5:$V$62,'Player Game Log'!$F$5:$F$62,$B15,'Player Game Log'!$C$5:$C$62,"October")</f>
        <v>3</v>
      </c>
      <c r="H15" s="15" t="n">
        <f aca="false">G15/C15</f>
        <v>3</v>
      </c>
      <c r="I15" s="13" t="n">
        <f aca="false">SUMIFS('Player Game Log'!$P$5:$P$62,'Player Game Log'!$F$5:$F$62,$B15,'Player Game Log'!$C$5:$C$62,"October")</f>
        <v>0</v>
      </c>
      <c r="J15" s="15" t="n">
        <f aca="false">I15/C15</f>
        <v>0</v>
      </c>
      <c r="K15" s="13" t="n">
        <f aca="false">SUMIFS('Player Game Log'!$N$5:$N$62,'Player Game Log'!$F$5:$F$62,$B15,'Player Game Log'!$C$5:$C$62,"October")</f>
        <v>0</v>
      </c>
      <c r="L15" s="13" t="n">
        <f aca="false">SUMIFS('Player Game Log'!$Q$5:$Q$62,'Player Game Log'!$F$5:$F$62,$B15,'Player Game Log'!$C$5:$C$62,"October")</f>
        <v>0</v>
      </c>
      <c r="M15" s="15" t="n">
        <f aca="false">L15/C15</f>
        <v>0</v>
      </c>
      <c r="N15" s="13" t="n">
        <f aca="false">SUMIFS('Player Game Log'!$R$5:$R$62,'Player Game Log'!$F$5:$F$62,$B15,'Player Game Log'!$C$5:$C$62,"October")</f>
        <v>0</v>
      </c>
      <c r="O15" s="15" t="n">
        <f aca="false">N15/C15</f>
        <v>0</v>
      </c>
      <c r="P15" s="13" t="n">
        <f aca="false">SUMIFS('Player Game Log'!$S$5:$S$62,'Player Game Log'!$F$5:$F$62,$B15,'Player Game Log'!$C$5:$C$62,"October")</f>
        <v>0</v>
      </c>
      <c r="Q15" s="15" t="n">
        <f aca="false">P15/C15</f>
        <v>0</v>
      </c>
      <c r="R15" s="13" t="n">
        <f aca="false">SUMIFS('Player Game Log'!$T$5:$T$62,'Player Game Log'!$F$5:$F$62,$B15,'Player Game Log'!$C$5:$C$62,"October")</f>
        <v>0</v>
      </c>
      <c r="S15" s="13" t="n">
        <f aca="false">SUMIFS('Player Game Log'!$U$5:$U$62,'Player Game Log'!$F$5:$F$62,$B15,'Player Game Log'!$C$5:$C$62,"October")</f>
        <v>1</v>
      </c>
      <c r="T15" s="15" t="n">
        <f aca="false">S15/C15</f>
        <v>1</v>
      </c>
      <c r="U15" s="13" t="n">
        <f aca="false">SUMIFS('Player Game Log'!$H$5:$H$62,'Player Game Log'!$F$5:$F$62,$B15,'Player Game Log'!$C$5:$C$62,"October")</f>
        <v>1</v>
      </c>
      <c r="V15" s="13" t="n">
        <f aca="false">SUMIFS('Player Game Log'!$I$5:$I$62,'Player Game Log'!$F$5:$F$62,$B15,'Player Game Log'!$C$5:$C$62,"October")</f>
        <v>1</v>
      </c>
      <c r="W15" s="16" t="n">
        <f aca="false">IF(V15=0,"",U15/V15)</f>
        <v>1</v>
      </c>
      <c r="X15" s="13" t="n">
        <f aca="false">SUMIFS('Player Game Log'!$J$5:$J$62,'Player Game Log'!$F$5:$F$62,$B15,'Player Game Log'!$C$5:$C$62,"October")</f>
        <v>1</v>
      </c>
      <c r="Y15" s="13" t="n">
        <f aca="false">SUMIFS('Player Game Log'!$K$5:$K$62,'Player Game Log'!$F$5:$F$62,$B15,'Player Game Log'!$C$5:$C$62,"October")</f>
        <v>1</v>
      </c>
      <c r="Z15" s="16" t="n">
        <f aca="false">IF(Y15=0,"",X15/Y15)</f>
        <v>1</v>
      </c>
      <c r="AA15" s="13" t="n">
        <f aca="false">SUMIFS('Player Game Log'!$L$5:$L$62,'Player Game Log'!$F$5:$F$62,$B15,'Player Game Log'!$C$5:$C$62,"October")</f>
        <v>0</v>
      </c>
      <c r="AB15" s="13" t="n">
        <f aca="false">SUMIFS('Player Game Log'!$M$5:$M$62,'Player Game Log'!$F$5:$F$62,$B15,'Player Game Log'!$C$5:$C$62,"October")</f>
        <v>0</v>
      </c>
      <c r="AC15" s="16" t="str">
        <f aca="false">IF(AB15=0,"",AA15/AB15)</f>
        <v/>
      </c>
      <c r="AD15" s="16" t="n">
        <f aca="false">IF(V15=0,"",(U15+0.5*X15)/V15)</f>
        <v>1.5</v>
      </c>
      <c r="AE15" s="16" t="n">
        <f aca="false">IF(V15+AB15=0,"",G15/(2*(V15+0.44*AB15)))</f>
        <v>1.5</v>
      </c>
      <c r="AF15" s="15" t="n">
        <f aca="false">IF(E15=0,"",G15/E15*40)</f>
        <v>36.9230769230769</v>
      </c>
    </row>
    <row r="16" customFormat="false" ht="15" hidden="false" customHeight="false" outlineLevel="0" collapsed="false">
      <c r="A16" s="13" t="n">
        <v>7</v>
      </c>
      <c r="B16" s="14" t="s">
        <v>59</v>
      </c>
      <c r="C16" s="13" t="n">
        <f aca="false">COUNTIFS('Player Game Log'!$F$5:$F$62,$B16,'Player Game Log'!$C$5:$C$62,"October")</f>
        <v>2</v>
      </c>
      <c r="D16" s="13" t="n">
        <f aca="false">COUNTIFS('Player Game Log'!$F$5:$F$62,$B16,'Player Game Log'!$W$5:$W$62,"Yes",'Player Game Log'!$C$5:$C$62,"October")</f>
        <v>0</v>
      </c>
      <c r="E16" s="15" t="n">
        <f aca="false">SUMIFS('Player Game Log'!$G$5:$G$62,'Player Game Log'!$F$5:$F$62,$B16,'Player Game Log'!$C$5:$C$62,"October")</f>
        <v>25.45</v>
      </c>
      <c r="F16" s="15" t="n">
        <f aca="false">IFERROR(E16/COUNTIFS('Player Game Log'!$F$5:$F$62,$B16,'Player Game Log'!$G$5:$G$62,"&lt;&gt;",'Player Game Log'!$C$5:$C$62,"October"),"")</f>
        <v>12.725</v>
      </c>
      <c r="G16" s="13" t="n">
        <f aca="false">SUMIFS('Player Game Log'!$V$5:$V$62,'Player Game Log'!$F$5:$F$62,$B16,'Player Game Log'!$C$5:$C$62,"October")</f>
        <v>4</v>
      </c>
      <c r="H16" s="15" t="n">
        <f aca="false">G16/C16</f>
        <v>2</v>
      </c>
      <c r="I16" s="13" t="n">
        <f aca="false">SUMIFS('Player Game Log'!$P$5:$P$62,'Player Game Log'!$F$5:$F$62,$B16,'Player Game Log'!$C$5:$C$62,"October")</f>
        <v>6</v>
      </c>
      <c r="J16" s="15" t="n">
        <f aca="false">I16/C16</f>
        <v>3</v>
      </c>
      <c r="K16" s="13" t="n">
        <f aca="false">SUMIFS('Player Game Log'!$N$5:$N$62,'Player Game Log'!$F$5:$F$62,$B16,'Player Game Log'!$C$5:$C$62,"October")</f>
        <v>3</v>
      </c>
      <c r="L16" s="13" t="n">
        <f aca="false">SUMIFS('Player Game Log'!$Q$5:$Q$62,'Player Game Log'!$F$5:$F$62,$B16,'Player Game Log'!$C$5:$C$62,"October")</f>
        <v>3</v>
      </c>
      <c r="M16" s="15" t="n">
        <f aca="false">L16/C16</f>
        <v>1.5</v>
      </c>
      <c r="N16" s="13" t="n">
        <f aca="false">SUMIFS('Player Game Log'!$R$5:$R$62,'Player Game Log'!$F$5:$F$62,$B16,'Player Game Log'!$C$5:$C$62,"October")</f>
        <v>0</v>
      </c>
      <c r="O16" s="15" t="n">
        <f aca="false">N16/C16</f>
        <v>0</v>
      </c>
      <c r="P16" s="13" t="n">
        <f aca="false">SUMIFS('Player Game Log'!$S$5:$S$62,'Player Game Log'!$F$5:$F$62,$B16,'Player Game Log'!$C$5:$C$62,"October")</f>
        <v>1</v>
      </c>
      <c r="Q16" s="15" t="n">
        <f aca="false">P16/C16</f>
        <v>0.5</v>
      </c>
      <c r="R16" s="13" t="n">
        <f aca="false">SUMIFS('Player Game Log'!$T$5:$T$62,'Player Game Log'!$F$5:$F$62,$B16,'Player Game Log'!$C$5:$C$62,"October")</f>
        <v>0</v>
      </c>
      <c r="S16" s="13" t="n">
        <f aca="false">SUMIFS('Player Game Log'!$U$5:$U$62,'Player Game Log'!$F$5:$F$62,$B16,'Player Game Log'!$C$5:$C$62,"October")</f>
        <v>4</v>
      </c>
      <c r="T16" s="15" t="n">
        <f aca="false">S16/C16</f>
        <v>2</v>
      </c>
      <c r="U16" s="13" t="n">
        <f aca="false">SUMIFS('Player Game Log'!$H$5:$H$62,'Player Game Log'!$F$5:$F$62,$B16,'Player Game Log'!$C$5:$C$62,"October")</f>
        <v>0</v>
      </c>
      <c r="V16" s="13" t="n">
        <f aca="false">SUMIFS('Player Game Log'!$I$5:$I$62,'Player Game Log'!$F$5:$F$62,$B16,'Player Game Log'!$C$5:$C$62,"October")</f>
        <v>3</v>
      </c>
      <c r="W16" s="16" t="n">
        <f aca="false">IF(V16=0,"",U16/V16)</f>
        <v>0</v>
      </c>
      <c r="X16" s="13" t="n">
        <f aca="false">SUMIFS('Player Game Log'!$J$5:$J$62,'Player Game Log'!$F$5:$F$62,$B16,'Player Game Log'!$C$5:$C$62,"October")</f>
        <v>0</v>
      </c>
      <c r="Y16" s="13" t="n">
        <f aca="false">SUMIFS('Player Game Log'!$K$5:$K$62,'Player Game Log'!$F$5:$F$62,$B16,'Player Game Log'!$C$5:$C$62,"October")</f>
        <v>2</v>
      </c>
      <c r="Z16" s="16" t="n">
        <f aca="false">IF(Y16=0,"",X16/Y16)</f>
        <v>0</v>
      </c>
      <c r="AA16" s="13" t="n">
        <f aca="false">SUMIFS('Player Game Log'!$L$5:$L$62,'Player Game Log'!$F$5:$F$62,$B16,'Player Game Log'!$C$5:$C$62,"October")</f>
        <v>4</v>
      </c>
      <c r="AB16" s="13" t="n">
        <f aca="false">SUMIFS('Player Game Log'!$M$5:$M$62,'Player Game Log'!$F$5:$F$62,$B16,'Player Game Log'!$C$5:$C$62,"October")</f>
        <v>4</v>
      </c>
      <c r="AC16" s="16" t="n">
        <f aca="false">IF(AB16=0,"",AA16/AB16)</f>
        <v>1</v>
      </c>
      <c r="AD16" s="16" t="n">
        <f aca="false">IF(V16=0,"",(U16+0.5*X16)/V16)</f>
        <v>0</v>
      </c>
      <c r="AE16" s="16" t="n">
        <f aca="false">IF(V16+AB16=0,"",G16/(2*(V16+0.44*AB16)))</f>
        <v>0.420168067226891</v>
      </c>
      <c r="AF16" s="15" t="n">
        <f aca="false">IF(E16=0,"",G16/E16*40)</f>
        <v>6.28683693516699</v>
      </c>
    </row>
    <row r="17" customFormat="false" ht="15" hidden="false" customHeight="false" outlineLevel="0" collapsed="false">
      <c r="A17" s="13" t="n">
        <v>4</v>
      </c>
      <c r="B17" s="14" t="s">
        <v>67</v>
      </c>
      <c r="C17" s="13" t="n">
        <f aca="false">COUNTIFS('Player Game Log'!$F$5:$F$62,$B17,'Player Game Log'!$C$5:$C$62,"October")</f>
        <v>1</v>
      </c>
      <c r="D17" s="13" t="n">
        <f aca="false">COUNTIFS('Player Game Log'!$F$5:$F$62,$B17,'Player Game Log'!$W$5:$W$62,"Yes",'Player Game Log'!$C$5:$C$62,"October")</f>
        <v>0</v>
      </c>
      <c r="E17" s="15" t="n">
        <f aca="false">SUMIFS('Player Game Log'!$G$5:$G$62,'Player Game Log'!$F$5:$F$62,$B17,'Player Game Log'!$C$5:$C$62,"October")</f>
        <v>0.1</v>
      </c>
      <c r="F17" s="15" t="n">
        <f aca="false">IFERROR(E17/COUNTIFS('Player Game Log'!$F$5:$F$62,$B17,'Player Game Log'!$G$5:$G$62,"&lt;&gt;",'Player Game Log'!$C$5:$C$62,"October"),"")</f>
        <v>0.1</v>
      </c>
      <c r="G17" s="13" t="n">
        <f aca="false">SUMIFS('Player Game Log'!$V$5:$V$62,'Player Game Log'!$F$5:$F$62,$B17,'Player Game Log'!$C$5:$C$62,"October")</f>
        <v>0</v>
      </c>
      <c r="H17" s="15" t="n">
        <f aca="false">G17/C17</f>
        <v>0</v>
      </c>
      <c r="I17" s="13" t="n">
        <f aca="false">SUMIFS('Player Game Log'!$P$5:$P$62,'Player Game Log'!$F$5:$F$62,$B17,'Player Game Log'!$C$5:$C$62,"October")</f>
        <v>0</v>
      </c>
      <c r="J17" s="15" t="n">
        <f aca="false">I17/C17</f>
        <v>0</v>
      </c>
      <c r="K17" s="13" t="n">
        <f aca="false">SUMIFS('Player Game Log'!$N$5:$N$62,'Player Game Log'!$F$5:$F$62,$B17,'Player Game Log'!$C$5:$C$62,"October")</f>
        <v>0</v>
      </c>
      <c r="L17" s="13" t="n">
        <f aca="false">SUMIFS('Player Game Log'!$Q$5:$Q$62,'Player Game Log'!$F$5:$F$62,$B17,'Player Game Log'!$C$5:$C$62,"October")</f>
        <v>0</v>
      </c>
      <c r="M17" s="15" t="n">
        <f aca="false">L17/C17</f>
        <v>0</v>
      </c>
      <c r="N17" s="13" t="n">
        <f aca="false">SUMIFS('Player Game Log'!$R$5:$R$62,'Player Game Log'!$F$5:$F$62,$B17,'Player Game Log'!$C$5:$C$62,"October")</f>
        <v>0</v>
      </c>
      <c r="O17" s="15" t="n">
        <f aca="false">N17/C17</f>
        <v>0</v>
      </c>
      <c r="P17" s="13" t="n">
        <f aca="false">SUMIFS('Player Game Log'!$S$5:$S$62,'Player Game Log'!$F$5:$F$62,$B17,'Player Game Log'!$C$5:$C$62,"October")</f>
        <v>0</v>
      </c>
      <c r="Q17" s="15" t="n">
        <f aca="false">P17/C17</f>
        <v>0</v>
      </c>
      <c r="R17" s="13" t="n">
        <f aca="false">SUMIFS('Player Game Log'!$T$5:$T$62,'Player Game Log'!$F$5:$F$62,$B17,'Player Game Log'!$C$5:$C$62,"October")</f>
        <v>0</v>
      </c>
      <c r="S17" s="13" t="n">
        <f aca="false">SUMIFS('Player Game Log'!$U$5:$U$62,'Player Game Log'!$F$5:$F$62,$B17,'Player Game Log'!$C$5:$C$62,"October")</f>
        <v>0</v>
      </c>
      <c r="T17" s="15" t="n">
        <f aca="false">S17/C17</f>
        <v>0</v>
      </c>
      <c r="U17" s="13" t="n">
        <f aca="false">SUMIFS('Player Game Log'!$H$5:$H$62,'Player Game Log'!$F$5:$F$62,$B17,'Player Game Log'!$C$5:$C$62,"October")</f>
        <v>0</v>
      </c>
      <c r="V17" s="13" t="n">
        <f aca="false">SUMIFS('Player Game Log'!$I$5:$I$62,'Player Game Log'!$F$5:$F$62,$B17,'Player Game Log'!$C$5:$C$62,"October")</f>
        <v>0</v>
      </c>
      <c r="W17" s="16" t="str">
        <f aca="false">IF(V17=0,"",U17/V17)</f>
        <v/>
      </c>
      <c r="X17" s="13" t="n">
        <f aca="false">SUMIFS('Player Game Log'!$J$5:$J$62,'Player Game Log'!$F$5:$F$62,$B17,'Player Game Log'!$C$5:$C$62,"October")</f>
        <v>0</v>
      </c>
      <c r="Y17" s="13" t="n">
        <f aca="false">SUMIFS('Player Game Log'!$K$5:$K$62,'Player Game Log'!$F$5:$F$62,$B17,'Player Game Log'!$C$5:$C$62,"October")</f>
        <v>0</v>
      </c>
      <c r="Z17" s="16" t="str">
        <f aca="false">IF(Y17=0,"",X17/Y17)</f>
        <v/>
      </c>
      <c r="AA17" s="13" t="n">
        <f aca="false">SUMIFS('Player Game Log'!$L$5:$L$62,'Player Game Log'!$F$5:$F$62,$B17,'Player Game Log'!$C$5:$C$62,"October")</f>
        <v>0</v>
      </c>
      <c r="AB17" s="13" t="n">
        <f aca="false">SUMIFS('Player Game Log'!$M$5:$M$62,'Player Game Log'!$F$5:$F$62,$B17,'Player Game Log'!$C$5:$C$62,"October")</f>
        <v>0</v>
      </c>
      <c r="AC17" s="16" t="str">
        <f aca="false">IF(AB17=0,"",AA17/AB17)</f>
        <v/>
      </c>
      <c r="AD17" s="16" t="str">
        <f aca="false">IF(V17=0,"",(U17+0.5*X17)/V17)</f>
        <v/>
      </c>
      <c r="AE17" s="16" t="str">
        <f aca="false">IF(V17+AB17=0,"",G17/(2*(V17+0.44*AB17)))</f>
        <v/>
      </c>
      <c r="AF17" s="15" t="n">
        <f aca="false">IF(E17=0,"",G17/E17*40)</f>
        <v>0</v>
      </c>
    </row>
    <row r="18" customFormat="false" ht="15" hidden="false" customHeight="false" outlineLevel="0" collapsed="false">
      <c r="A18" s="13" t="n">
        <v>25</v>
      </c>
      <c r="B18" s="14" t="s">
        <v>69</v>
      </c>
      <c r="C18" s="13" t="n">
        <f aca="false">COUNTIFS('Player Game Log'!$F$5:$F$62,$B18,'Player Game Log'!$C$5:$C$62,"October")</f>
        <v>1</v>
      </c>
      <c r="D18" s="13" t="n">
        <f aca="false">COUNTIFS('Player Game Log'!$F$5:$F$62,$B18,'Player Game Log'!$W$5:$W$62,"Yes",'Player Game Log'!$C$5:$C$62,"October")</f>
        <v>0</v>
      </c>
      <c r="E18" s="15" t="n">
        <f aca="false">SUMIFS('Player Game Log'!$G$5:$G$62,'Player Game Log'!$F$5:$F$62,$B18,'Player Game Log'!$C$5:$C$62,"October")</f>
        <v>1.63</v>
      </c>
      <c r="F18" s="15" t="n">
        <f aca="false">IFERROR(E18/COUNTIFS('Player Game Log'!$F$5:$F$62,$B18,'Player Game Log'!$G$5:$G$62,"&lt;&gt;",'Player Game Log'!$C$5:$C$62,"October"),"")</f>
        <v>1.63</v>
      </c>
      <c r="G18" s="13" t="n">
        <f aca="false">SUMIFS('Player Game Log'!$V$5:$V$62,'Player Game Log'!$F$5:$F$62,$B18,'Player Game Log'!$C$5:$C$62,"October")</f>
        <v>0</v>
      </c>
      <c r="H18" s="15" t="n">
        <f aca="false">G18/C18</f>
        <v>0</v>
      </c>
      <c r="I18" s="13" t="n">
        <f aca="false">SUMIFS('Player Game Log'!$P$5:$P$62,'Player Game Log'!$F$5:$F$62,$B18,'Player Game Log'!$C$5:$C$62,"October")</f>
        <v>0</v>
      </c>
      <c r="J18" s="15" t="n">
        <f aca="false">I18/C18</f>
        <v>0</v>
      </c>
      <c r="K18" s="13" t="n">
        <f aca="false">SUMIFS('Player Game Log'!$N$5:$N$62,'Player Game Log'!$F$5:$F$62,$B18,'Player Game Log'!$C$5:$C$62,"October")</f>
        <v>0</v>
      </c>
      <c r="L18" s="13" t="n">
        <f aca="false">SUMIFS('Player Game Log'!$Q$5:$Q$62,'Player Game Log'!$F$5:$F$62,$B18,'Player Game Log'!$C$5:$C$62,"October")</f>
        <v>0</v>
      </c>
      <c r="M18" s="15" t="n">
        <f aca="false">L18/C18</f>
        <v>0</v>
      </c>
      <c r="N18" s="13" t="n">
        <f aca="false">SUMIFS('Player Game Log'!$R$5:$R$62,'Player Game Log'!$F$5:$F$62,$B18,'Player Game Log'!$C$5:$C$62,"October")</f>
        <v>0</v>
      </c>
      <c r="O18" s="15" t="n">
        <f aca="false">N18/C18</f>
        <v>0</v>
      </c>
      <c r="P18" s="13" t="n">
        <f aca="false">SUMIFS('Player Game Log'!$S$5:$S$62,'Player Game Log'!$F$5:$F$62,$B18,'Player Game Log'!$C$5:$C$62,"October")</f>
        <v>0</v>
      </c>
      <c r="Q18" s="15" t="n">
        <f aca="false">P18/C18</f>
        <v>0</v>
      </c>
      <c r="R18" s="13" t="n">
        <f aca="false">SUMIFS('Player Game Log'!$T$5:$T$62,'Player Game Log'!$F$5:$F$62,$B18,'Player Game Log'!$C$5:$C$62,"October")</f>
        <v>0</v>
      </c>
      <c r="S18" s="13" t="n">
        <f aca="false">SUMIFS('Player Game Log'!$U$5:$U$62,'Player Game Log'!$F$5:$F$62,$B18,'Player Game Log'!$C$5:$C$62,"October")</f>
        <v>0</v>
      </c>
      <c r="T18" s="15" t="n">
        <f aca="false">S18/C18</f>
        <v>0</v>
      </c>
      <c r="U18" s="13" t="n">
        <f aca="false">SUMIFS('Player Game Log'!$H$5:$H$62,'Player Game Log'!$F$5:$F$62,$B18,'Player Game Log'!$C$5:$C$62,"October")</f>
        <v>0</v>
      </c>
      <c r="V18" s="13" t="n">
        <f aca="false">SUMIFS('Player Game Log'!$I$5:$I$62,'Player Game Log'!$F$5:$F$62,$B18,'Player Game Log'!$C$5:$C$62,"October")</f>
        <v>1</v>
      </c>
      <c r="W18" s="16" t="n">
        <f aca="false">IF(V18=0,"",U18/V18)</f>
        <v>0</v>
      </c>
      <c r="X18" s="13" t="n">
        <f aca="false">SUMIFS('Player Game Log'!$J$5:$J$62,'Player Game Log'!$F$5:$F$62,$B18,'Player Game Log'!$C$5:$C$62,"October")</f>
        <v>0</v>
      </c>
      <c r="Y18" s="13" t="n">
        <f aca="false">SUMIFS('Player Game Log'!$K$5:$K$62,'Player Game Log'!$F$5:$F$62,$B18,'Player Game Log'!$C$5:$C$62,"October")</f>
        <v>0</v>
      </c>
      <c r="Z18" s="16" t="str">
        <f aca="false">IF(Y18=0,"",X18/Y18)</f>
        <v/>
      </c>
      <c r="AA18" s="13" t="n">
        <f aca="false">SUMIFS('Player Game Log'!$L$5:$L$62,'Player Game Log'!$F$5:$F$62,$B18,'Player Game Log'!$C$5:$C$62,"October")</f>
        <v>0</v>
      </c>
      <c r="AB18" s="13" t="n">
        <f aca="false">SUMIFS('Player Game Log'!$M$5:$M$62,'Player Game Log'!$F$5:$F$62,$B18,'Player Game Log'!$C$5:$C$62,"October")</f>
        <v>0</v>
      </c>
      <c r="AC18" s="16" t="str">
        <f aca="false">IF(AB18=0,"",AA18/AB18)</f>
        <v/>
      </c>
      <c r="AD18" s="16" t="n">
        <f aca="false">IF(V18=0,"",(U18+0.5*X18)/V18)</f>
        <v>0</v>
      </c>
      <c r="AE18" s="16" t="n">
        <f aca="false">IF(V18+AB18=0,"",G18/(2*(V18+0.44*AB18)))</f>
        <v>0</v>
      </c>
      <c r="AF18" s="15" t="n">
        <f aca="false">IF(E18=0,"",G18/E18*40)</f>
        <v>0</v>
      </c>
    </row>
    <row r="19" customFormat="false" ht="15" hidden="false" customHeight="false" outlineLevel="0" collapsed="false">
      <c r="B19" s="3" t="s">
        <v>105</v>
      </c>
      <c r="E19" s="3" t="n">
        <f aca="false">SUM(E5:E18)</f>
        <v>399.99</v>
      </c>
      <c r="G19" s="3" t="n">
        <f aca="false">SUM(G5:G18)</f>
        <v>186</v>
      </c>
      <c r="I19" s="3" t="n">
        <f aca="false">SUM(I5:I18)</f>
        <v>67</v>
      </c>
      <c r="K19" s="3" t="n">
        <f aca="false">SUM(K5:K18)</f>
        <v>26</v>
      </c>
      <c r="L19" s="3" t="n">
        <f aca="false">SUM(L5:L18)</f>
        <v>30</v>
      </c>
      <c r="N19" s="3" t="n">
        <f aca="false">SUM(N5:N18)</f>
        <v>25</v>
      </c>
      <c r="P19" s="3" t="n">
        <f aca="false">SUM(P5:P18)</f>
        <v>20</v>
      </c>
      <c r="R19" s="3" t="n">
        <f aca="false">SUM(R5:R18)</f>
        <v>5</v>
      </c>
      <c r="S19" s="3" t="n">
        <f aca="false">SUM(S5:S18)</f>
        <v>41</v>
      </c>
      <c r="U19" s="3" t="n">
        <f aca="false">SUM(U5:U18)</f>
        <v>60</v>
      </c>
      <c r="V19" s="3" t="n">
        <f aca="false">SUM(V5:V18)</f>
        <v>129</v>
      </c>
      <c r="W19" s="19" t="n">
        <f aca="false">U19/V19</f>
        <v>0.465116279069767</v>
      </c>
      <c r="X19" s="3" t="n">
        <f aca="false">SUM(X5:X18)</f>
        <v>19</v>
      </c>
      <c r="Y19" s="3" t="n">
        <f aca="false">SUM(Y5:Y18)</f>
        <v>54</v>
      </c>
      <c r="Z19" s="19" t="n">
        <f aca="false">X19/Y19</f>
        <v>0.351851851851852</v>
      </c>
      <c r="AA19" s="3" t="n">
        <f aca="false">SUM(AA5:AA18)</f>
        <v>47</v>
      </c>
      <c r="AB19" s="3" t="n">
        <f aca="false">SUM(AB5:AB18)</f>
        <v>60</v>
      </c>
      <c r="AC19" s="19" t="n">
        <f aca="false">AA19/AB19</f>
        <v>0.783333333333333</v>
      </c>
      <c r="AD19" s="19" t="n">
        <f aca="false">(U19+0.5*X19)/V19</f>
        <v>0.538759689922481</v>
      </c>
    </row>
    <row r="21" customFormat="false" ht="15" hidden="false" customHeight="false" outlineLevel="0" collapsed="false">
      <c r="A21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62" min="4" style="0" width="7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30" hidden="false" customHeight="true" outlineLevel="0" collapsed="false">
      <c r="A4" s="9" t="s">
        <v>30</v>
      </c>
      <c r="B4" s="9" t="s">
        <v>31</v>
      </c>
      <c r="C4" s="9" t="s">
        <v>33</v>
      </c>
      <c r="D4" s="9" t="s">
        <v>111</v>
      </c>
      <c r="E4" s="9" t="s">
        <v>112</v>
      </c>
      <c r="F4" s="9" t="s">
        <v>113</v>
      </c>
      <c r="G4" s="9" t="s">
        <v>37</v>
      </c>
      <c r="H4" s="9" t="s">
        <v>38</v>
      </c>
      <c r="I4" s="9" t="s">
        <v>39</v>
      </c>
      <c r="J4" s="9" t="s">
        <v>40</v>
      </c>
      <c r="K4" s="9" t="s">
        <v>41</v>
      </c>
      <c r="L4" s="9" t="s">
        <v>42</v>
      </c>
      <c r="M4" s="9" t="s">
        <v>43</v>
      </c>
      <c r="N4" s="9" t="s">
        <v>44</v>
      </c>
      <c r="O4" s="9" t="s">
        <v>46</v>
      </c>
      <c r="P4" s="9" t="s">
        <v>47</v>
      </c>
      <c r="Q4" s="9" t="s">
        <v>48</v>
      </c>
      <c r="R4" s="9" t="s">
        <v>49</v>
      </c>
      <c r="S4" s="9" t="s">
        <v>50</v>
      </c>
      <c r="T4" s="9" t="s">
        <v>114</v>
      </c>
      <c r="U4" s="9" t="s">
        <v>115</v>
      </c>
      <c r="V4" s="9" t="s">
        <v>116</v>
      </c>
      <c r="W4" s="9" t="s">
        <v>117</v>
      </c>
      <c r="X4" s="9" t="s">
        <v>118</v>
      </c>
      <c r="Y4" s="9" t="s">
        <v>119</v>
      </c>
      <c r="Z4" s="9" t="s">
        <v>120</v>
      </c>
      <c r="AA4" s="9" t="s">
        <v>121</v>
      </c>
      <c r="AB4" s="9" t="s">
        <v>122</v>
      </c>
      <c r="AC4" s="9" t="s">
        <v>123</v>
      </c>
      <c r="AD4" s="9" t="s">
        <v>124</v>
      </c>
      <c r="AE4" s="9" t="s">
        <v>125</v>
      </c>
      <c r="AF4" s="9" t="s">
        <v>126</v>
      </c>
      <c r="AG4" s="9" t="s">
        <v>127</v>
      </c>
      <c r="AH4" s="9" t="s">
        <v>128</v>
      </c>
      <c r="AI4" s="9" t="s">
        <v>129</v>
      </c>
      <c r="AJ4" s="9" t="s">
        <v>130</v>
      </c>
      <c r="AK4" s="9" t="s">
        <v>131</v>
      </c>
      <c r="AL4" s="9" t="s">
        <v>132</v>
      </c>
      <c r="AM4" s="9" t="s">
        <v>133</v>
      </c>
      <c r="AN4" s="9" t="s">
        <v>134</v>
      </c>
      <c r="AO4" s="9" t="s">
        <v>135</v>
      </c>
      <c r="AP4" s="9" t="s">
        <v>136</v>
      </c>
      <c r="AQ4" s="9" t="s">
        <v>99</v>
      </c>
      <c r="AR4" s="9" t="s">
        <v>100</v>
      </c>
      <c r="AS4" s="9" t="s">
        <v>101</v>
      </c>
      <c r="AT4" s="9" t="s">
        <v>102</v>
      </c>
      <c r="AU4" s="9" t="s">
        <v>137</v>
      </c>
      <c r="AV4" s="9" t="s">
        <v>138</v>
      </c>
      <c r="AW4" s="9" t="s">
        <v>139</v>
      </c>
      <c r="AX4" s="9" t="s">
        <v>140</v>
      </c>
      <c r="AY4" s="9" t="s">
        <v>141</v>
      </c>
      <c r="AZ4" s="9" t="s">
        <v>142</v>
      </c>
      <c r="BA4" s="9" t="s">
        <v>143</v>
      </c>
      <c r="BB4" s="9" t="s">
        <v>144</v>
      </c>
      <c r="BC4" s="9" t="s">
        <v>145</v>
      </c>
      <c r="BD4" s="9" t="s">
        <v>146</v>
      </c>
      <c r="BE4" s="9" t="s">
        <v>147</v>
      </c>
      <c r="BF4" s="9" t="s">
        <v>148</v>
      </c>
      <c r="BG4" s="9" t="s">
        <v>149</v>
      </c>
      <c r="BH4" s="9" t="s">
        <v>150</v>
      </c>
      <c r="BI4" s="9" t="s">
        <v>151</v>
      </c>
      <c r="BJ4" s="9" t="s">
        <v>152</v>
      </c>
    </row>
    <row r="5" customFormat="false" ht="15" hidden="false" customHeight="false" outlineLevel="0" collapsed="false">
      <c r="A5" s="20" t="s">
        <v>53</v>
      </c>
      <c r="B5" s="20" t="s">
        <v>54</v>
      </c>
      <c r="C5" s="20" t="s">
        <v>56</v>
      </c>
      <c r="D5" s="20" t="n">
        <v>95</v>
      </c>
      <c r="E5" s="20" t="n">
        <v>64</v>
      </c>
      <c r="F5" s="15" t="n">
        <f aca="false">D5-E5</f>
        <v>31</v>
      </c>
      <c r="G5" s="20" t="n">
        <v>37</v>
      </c>
      <c r="H5" s="20" t="n">
        <v>81</v>
      </c>
      <c r="I5" s="20" t="n">
        <v>13</v>
      </c>
      <c r="J5" s="20" t="n">
        <v>41</v>
      </c>
      <c r="K5" s="20" t="n">
        <v>8</v>
      </c>
      <c r="L5" s="20" t="n">
        <v>12</v>
      </c>
      <c r="M5" s="20" t="n">
        <v>12</v>
      </c>
      <c r="N5" s="20" t="n">
        <v>33</v>
      </c>
      <c r="O5" s="20" t="n">
        <v>26</v>
      </c>
      <c r="P5" s="20" t="n">
        <v>12</v>
      </c>
      <c r="Q5" s="20" t="n">
        <v>17</v>
      </c>
      <c r="R5" s="20" t="n">
        <v>3</v>
      </c>
      <c r="S5" s="20" t="n">
        <v>25</v>
      </c>
      <c r="T5" s="20" t="n">
        <v>22</v>
      </c>
      <c r="U5" s="20" t="n">
        <v>62</v>
      </c>
      <c r="V5" s="20" t="n">
        <v>8</v>
      </c>
      <c r="W5" s="20" t="n">
        <v>32</v>
      </c>
      <c r="X5" s="20" t="n">
        <v>12</v>
      </c>
      <c r="Y5" s="20" t="n">
        <v>18</v>
      </c>
      <c r="Z5" s="20" t="n">
        <v>7</v>
      </c>
      <c r="AA5" s="20" t="n">
        <v>25</v>
      </c>
      <c r="AB5" s="20" t="n">
        <v>9</v>
      </c>
      <c r="AC5" s="20" t="n">
        <v>25</v>
      </c>
      <c r="AD5" s="20" t="n">
        <v>3</v>
      </c>
      <c r="AE5" s="20" t="n">
        <v>1</v>
      </c>
      <c r="AF5" s="20" t="n">
        <v>17</v>
      </c>
      <c r="AG5" s="20" t="n">
        <v>31</v>
      </c>
      <c r="AH5" s="20" t="n">
        <v>5</v>
      </c>
      <c r="AI5" s="20" t="n">
        <v>38</v>
      </c>
      <c r="AJ5" s="20" t="n">
        <v>24</v>
      </c>
      <c r="AK5" s="20" t="n">
        <v>9</v>
      </c>
      <c r="AL5" s="20" t="n">
        <v>7</v>
      </c>
      <c r="AM5" s="20" t="n">
        <v>25</v>
      </c>
      <c r="AN5" s="20" t="n">
        <v>4</v>
      </c>
      <c r="AO5" s="20" t="n">
        <v>54</v>
      </c>
      <c r="AP5" s="20" t="n">
        <v>22</v>
      </c>
      <c r="AQ5" s="21" t="n">
        <f aca="false">G5/H5</f>
        <v>0.45679012345679</v>
      </c>
      <c r="AR5" s="21" t="n">
        <f aca="false">I5/J5</f>
        <v>0.317073170731707</v>
      </c>
      <c r="AS5" s="21" t="n">
        <f aca="false">K5/L5</f>
        <v>0.666666666666667</v>
      </c>
      <c r="AT5" s="21" t="n">
        <f aca="false">(G5+0.5*I5)/H5</f>
        <v>0.537037037037037</v>
      </c>
      <c r="AU5" s="21" t="n">
        <f aca="false">T5/U5</f>
        <v>0.354838709677419</v>
      </c>
      <c r="AV5" s="21" t="n">
        <f aca="false">V5/W5</f>
        <v>0.25</v>
      </c>
      <c r="AW5" s="21" t="n">
        <f aca="false">(T5+0.5*V5)/U5</f>
        <v>0.419354838709677</v>
      </c>
      <c r="AX5" s="22" t="n">
        <f aca="false">H5-M5+P5+0.44*L5</f>
        <v>86.28</v>
      </c>
      <c r="AY5" s="22" t="n">
        <f aca="false">U5-Z5+AC5+0.44*Y5</f>
        <v>87.92</v>
      </c>
      <c r="AZ5" s="22" t="n">
        <f aca="false">(AX5+AY5)/2</f>
        <v>87.1</v>
      </c>
      <c r="BA5" s="22" t="n">
        <f aca="false">100*D5/AZ5</f>
        <v>109.070034443169</v>
      </c>
      <c r="BB5" s="22" t="n">
        <f aca="false">100*E5/AZ5</f>
        <v>73.4787600459242</v>
      </c>
      <c r="BC5" s="22" t="n">
        <f aca="false">BA5-BB5</f>
        <v>35.5912743972446</v>
      </c>
      <c r="BD5" s="21" t="n">
        <f aca="false">P5/AX5</f>
        <v>0.139082058414465</v>
      </c>
      <c r="BE5" s="21" t="n">
        <f aca="false">AC5/AY5</f>
        <v>0.28434940855323</v>
      </c>
      <c r="BF5" s="21" t="n">
        <f aca="false">M5/(M5+AA5)</f>
        <v>0.324324324324324</v>
      </c>
      <c r="BG5" s="21" t="n">
        <f aca="false">N5/(N5+Z5)</f>
        <v>0.825</v>
      </c>
      <c r="BH5" s="21" t="n">
        <f aca="false">J5/H5</f>
        <v>0.506172839506173</v>
      </c>
      <c r="BI5" s="21" t="n">
        <f aca="false">L5/H5</f>
        <v>0.148148148148148</v>
      </c>
      <c r="BJ5" s="21" t="n">
        <f aca="false">Y5/U5</f>
        <v>0.290322580645161</v>
      </c>
    </row>
    <row r="6" customFormat="false" ht="15" hidden="false" customHeight="false" outlineLevel="0" collapsed="false">
      <c r="A6" s="20" t="s">
        <v>70</v>
      </c>
      <c r="B6" s="20" t="s">
        <v>71</v>
      </c>
      <c r="C6" s="20" t="s">
        <v>72</v>
      </c>
      <c r="D6" s="20" t="n">
        <v>88</v>
      </c>
      <c r="E6" s="20"/>
      <c r="F6" s="20"/>
      <c r="G6" s="20" t="n">
        <v>33</v>
      </c>
      <c r="H6" s="20" t="n">
        <v>66</v>
      </c>
      <c r="I6" s="20" t="n">
        <v>5</v>
      </c>
      <c r="J6" s="20" t="n">
        <v>28</v>
      </c>
      <c r="K6" s="20" t="n">
        <v>17</v>
      </c>
      <c r="L6" s="20" t="n">
        <v>28</v>
      </c>
      <c r="M6" s="20" t="n">
        <v>8</v>
      </c>
      <c r="N6" s="20" t="n">
        <v>28</v>
      </c>
      <c r="O6" s="20" t="n">
        <v>21</v>
      </c>
      <c r="P6" s="20" t="n">
        <v>21</v>
      </c>
      <c r="Q6" s="20" t="n">
        <v>21</v>
      </c>
      <c r="R6" s="20" t="n">
        <v>3</v>
      </c>
      <c r="S6" s="20" t="n">
        <v>27</v>
      </c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1" t="n">
        <f aca="false">G6/H6</f>
        <v>0.5</v>
      </c>
      <c r="AR6" s="21" t="n">
        <f aca="false">I6/J6</f>
        <v>0.178571428571429</v>
      </c>
      <c r="AS6" s="21" t="n">
        <f aca="false">K6/L6</f>
        <v>0.607142857142857</v>
      </c>
      <c r="AT6" s="21" t="n">
        <f aca="false">(G6+0.5*I6)/H6</f>
        <v>0.537878787878788</v>
      </c>
      <c r="AX6" s="22" t="n">
        <f aca="false">H6-M6+P6+0.44*L6</f>
        <v>91.32</v>
      </c>
      <c r="BD6" s="21" t="n">
        <f aca="false">P6/AX6</f>
        <v>0.229960578186597</v>
      </c>
      <c r="BH6" s="21" t="n">
        <f aca="false">J6/H6</f>
        <v>0.424242424242424</v>
      </c>
      <c r="BI6" s="21" t="n">
        <f aca="false">L6/H6</f>
        <v>0.424242424242424</v>
      </c>
    </row>
    <row r="7" customFormat="false" ht="15" hidden="false" customHeight="false" outlineLevel="0" collapsed="false">
      <c r="A7" s="20" t="s">
        <v>73</v>
      </c>
      <c r="B7" s="20" t="s">
        <v>74</v>
      </c>
      <c r="C7" s="20" t="s">
        <v>75</v>
      </c>
      <c r="D7" s="20" t="n">
        <v>110</v>
      </c>
      <c r="E7" s="20" t="n">
        <v>72</v>
      </c>
      <c r="F7" s="15" t="n">
        <f aca="false">D7-E7</f>
        <v>38</v>
      </c>
      <c r="G7" s="20" t="n">
        <v>42</v>
      </c>
      <c r="H7" s="20" t="n">
        <v>86</v>
      </c>
      <c r="I7" s="20" t="n">
        <v>14</v>
      </c>
      <c r="J7" s="20" t="n">
        <v>39</v>
      </c>
      <c r="K7" s="20" t="n">
        <v>12</v>
      </c>
      <c r="L7" s="20" t="n">
        <v>14</v>
      </c>
      <c r="M7" s="20" t="n">
        <v>17</v>
      </c>
      <c r="N7" s="20" t="n">
        <v>28</v>
      </c>
      <c r="O7" s="20" t="n">
        <v>25</v>
      </c>
      <c r="P7" s="20" t="n">
        <v>12</v>
      </c>
      <c r="Q7" s="20" t="n">
        <v>19</v>
      </c>
      <c r="R7" s="20" t="n">
        <v>2</v>
      </c>
      <c r="S7" s="20" t="n">
        <v>23</v>
      </c>
      <c r="T7" s="20" t="n">
        <v>21</v>
      </c>
      <c r="U7" s="20" t="n">
        <v>56</v>
      </c>
      <c r="V7" s="20" t="n">
        <v>12</v>
      </c>
      <c r="W7" s="20" t="n">
        <v>33</v>
      </c>
      <c r="X7" s="20" t="n">
        <v>18</v>
      </c>
      <c r="Y7" s="20" t="n">
        <v>26</v>
      </c>
      <c r="Z7" s="20" t="n">
        <v>10</v>
      </c>
      <c r="AA7" s="20" t="n">
        <v>29</v>
      </c>
      <c r="AB7" s="20" t="n">
        <v>10</v>
      </c>
      <c r="AC7" s="20" t="n">
        <v>28</v>
      </c>
      <c r="AD7" s="20" t="n">
        <v>6</v>
      </c>
      <c r="AE7" s="20" t="n">
        <v>5</v>
      </c>
      <c r="AF7" s="20" t="n">
        <v>13</v>
      </c>
      <c r="AG7" s="20" t="n">
        <v>32</v>
      </c>
      <c r="AH7" s="20" t="n">
        <v>10</v>
      </c>
      <c r="AI7" s="20" t="n">
        <v>48</v>
      </c>
      <c r="AJ7" s="20" t="n">
        <v>14</v>
      </c>
      <c r="AK7" s="20" t="n">
        <v>25</v>
      </c>
      <c r="AL7" s="20" t="n">
        <v>10</v>
      </c>
      <c r="AM7" s="20" t="n">
        <v>10</v>
      </c>
      <c r="AN7" s="20" t="n">
        <v>7</v>
      </c>
      <c r="AO7" s="20" t="n">
        <v>47</v>
      </c>
      <c r="AP7" s="20" t="n">
        <v>43</v>
      </c>
      <c r="AQ7" s="21" t="n">
        <f aca="false">G7/H7</f>
        <v>0.488372093023256</v>
      </c>
      <c r="AR7" s="21" t="n">
        <f aca="false">I7/J7</f>
        <v>0.358974358974359</v>
      </c>
      <c r="AS7" s="21" t="n">
        <f aca="false">K7/L7</f>
        <v>0.857142857142857</v>
      </c>
      <c r="AT7" s="21" t="n">
        <f aca="false">(G7+0.5*I7)/H7</f>
        <v>0.569767441860465</v>
      </c>
      <c r="AU7" s="21" t="n">
        <f aca="false">T7/U7</f>
        <v>0.375</v>
      </c>
      <c r="AV7" s="21" t="n">
        <f aca="false">V7/W7</f>
        <v>0.363636363636364</v>
      </c>
      <c r="AW7" s="21" t="n">
        <f aca="false">(T7+0.5*V7)/U7</f>
        <v>0.482142857142857</v>
      </c>
      <c r="AX7" s="22" t="n">
        <f aca="false">H7-M7+P7+0.44*L7</f>
        <v>87.16</v>
      </c>
      <c r="AY7" s="22" t="n">
        <f aca="false">U7-Z7+AC7+0.44*Y7</f>
        <v>85.44</v>
      </c>
      <c r="AZ7" s="22" t="n">
        <f aca="false">(AX7+AY7)/2</f>
        <v>86.3</v>
      </c>
      <c r="BA7" s="22" t="n">
        <f aca="false">100*D7/AZ7</f>
        <v>127.462340672074</v>
      </c>
      <c r="BB7" s="22" t="n">
        <f aca="false">100*E7/AZ7</f>
        <v>83.4298957126304</v>
      </c>
      <c r="BC7" s="22" t="n">
        <f aca="false">BA7-BB7</f>
        <v>44.0324449594438</v>
      </c>
      <c r="BD7" s="21" t="n">
        <f aca="false">P7/AX7</f>
        <v>0.137677833868747</v>
      </c>
      <c r="BE7" s="21" t="n">
        <f aca="false">AC7/AY7</f>
        <v>0.327715355805243</v>
      </c>
      <c r="BF7" s="21" t="n">
        <f aca="false">M7/(M7+AA7)</f>
        <v>0.369565217391304</v>
      </c>
      <c r="BG7" s="21" t="n">
        <f aca="false">N7/(N7+Z7)</f>
        <v>0.736842105263158</v>
      </c>
      <c r="BH7" s="21" t="n">
        <f aca="false">J7/H7</f>
        <v>0.453488372093023</v>
      </c>
      <c r="BI7" s="21" t="n">
        <f aca="false">L7/H7</f>
        <v>0.162790697674419</v>
      </c>
      <c r="BJ7" s="21" t="n">
        <f aca="false">Y7/U7</f>
        <v>0.464285714285714</v>
      </c>
    </row>
    <row r="8" customFormat="false" ht="15" hidden="false" customHeight="false" outlineLevel="0" collapsed="false">
      <c r="A8" s="20" t="s">
        <v>78</v>
      </c>
      <c r="B8" s="20" t="s">
        <v>79</v>
      </c>
      <c r="C8" s="20" t="s">
        <v>81</v>
      </c>
      <c r="D8" s="20" t="n">
        <v>93</v>
      </c>
      <c r="E8" s="20" t="n">
        <v>87</v>
      </c>
      <c r="F8" s="15" t="n">
        <f aca="false">D8-E8</f>
        <v>6</v>
      </c>
      <c r="G8" s="20" t="n">
        <v>28</v>
      </c>
      <c r="H8" s="20" t="n">
        <v>65</v>
      </c>
      <c r="I8" s="20" t="n">
        <v>11</v>
      </c>
      <c r="J8" s="20" t="n">
        <v>26</v>
      </c>
      <c r="K8" s="20" t="n">
        <v>26</v>
      </c>
      <c r="L8" s="20" t="n">
        <v>32</v>
      </c>
      <c r="M8" s="20" t="n">
        <v>12</v>
      </c>
      <c r="N8" s="20" t="n">
        <v>24</v>
      </c>
      <c r="O8" s="20" t="n">
        <v>15</v>
      </c>
      <c r="P8" s="20" t="n">
        <v>10</v>
      </c>
      <c r="Q8" s="20" t="n">
        <v>6</v>
      </c>
      <c r="R8" s="20" t="n">
        <v>2</v>
      </c>
      <c r="S8" s="20" t="n">
        <v>22</v>
      </c>
      <c r="T8" s="20" t="n">
        <v>27</v>
      </c>
      <c r="U8" s="20" t="n">
        <v>58</v>
      </c>
      <c r="V8" s="20" t="n">
        <v>7</v>
      </c>
      <c r="W8" s="20" t="n">
        <v>21</v>
      </c>
      <c r="X8" s="20" t="n">
        <v>26</v>
      </c>
      <c r="Y8" s="20" t="n">
        <v>32</v>
      </c>
      <c r="Z8" s="20" t="n">
        <v>11</v>
      </c>
      <c r="AA8" s="20" t="n">
        <v>28</v>
      </c>
      <c r="AB8" s="20" t="n">
        <v>15</v>
      </c>
      <c r="AC8" s="20" t="n">
        <v>15</v>
      </c>
      <c r="AD8" s="20" t="n">
        <v>4</v>
      </c>
      <c r="AE8" s="20" t="n">
        <v>3</v>
      </c>
      <c r="AF8" s="20" t="n">
        <v>23</v>
      </c>
      <c r="AG8" s="20" t="n">
        <v>14</v>
      </c>
      <c r="AH8" s="20" t="n">
        <v>15</v>
      </c>
      <c r="AI8" s="20" t="n">
        <v>28</v>
      </c>
      <c r="AJ8" s="20" t="n">
        <v>36</v>
      </c>
      <c r="AK8" s="20" t="n">
        <v>12</v>
      </c>
      <c r="AL8" s="20" t="n">
        <v>10</v>
      </c>
      <c r="AM8" s="20" t="n">
        <v>18</v>
      </c>
      <c r="AN8" s="20" t="n">
        <v>11</v>
      </c>
      <c r="AO8" s="20" t="n">
        <v>35</v>
      </c>
      <c r="AP8" s="20" t="n">
        <v>28</v>
      </c>
      <c r="AQ8" s="21" t="n">
        <f aca="false">G8/H8</f>
        <v>0.430769230769231</v>
      </c>
      <c r="AR8" s="21" t="n">
        <f aca="false">I8/J8</f>
        <v>0.423076923076923</v>
      </c>
      <c r="AS8" s="21" t="n">
        <f aca="false">K8/L8</f>
        <v>0.8125</v>
      </c>
      <c r="AT8" s="21" t="n">
        <f aca="false">(G8+0.5*I8)/H8</f>
        <v>0.515384615384615</v>
      </c>
      <c r="AU8" s="21" t="n">
        <f aca="false">T8/U8</f>
        <v>0.46551724137931</v>
      </c>
      <c r="AV8" s="21" t="n">
        <f aca="false">V8/W8</f>
        <v>0.333333333333333</v>
      </c>
      <c r="AW8" s="21" t="n">
        <f aca="false">(T8+0.5*V8)/U8</f>
        <v>0.525862068965517</v>
      </c>
      <c r="AX8" s="22" t="n">
        <f aca="false">H8-M8+P8+0.44*L8</f>
        <v>77.08</v>
      </c>
      <c r="AY8" s="22" t="n">
        <f aca="false">U8-Z8+AC8+0.44*Y8</f>
        <v>76.08</v>
      </c>
      <c r="AZ8" s="22" t="n">
        <f aca="false">(AX8+AY8)/2</f>
        <v>76.58</v>
      </c>
      <c r="BA8" s="22" t="n">
        <f aca="false">100*D8/AZ8</f>
        <v>121.441629668321</v>
      </c>
      <c r="BB8" s="22" t="n">
        <f aca="false">100*E8/AZ8</f>
        <v>113.606685818752</v>
      </c>
      <c r="BC8" s="22" t="n">
        <f aca="false">BA8-BB8</f>
        <v>7.83494384956909</v>
      </c>
      <c r="BD8" s="21" t="n">
        <f aca="false">P8/AX8</f>
        <v>0.129735339906591</v>
      </c>
      <c r="BE8" s="21" t="n">
        <f aca="false">AC8/AY8</f>
        <v>0.197160883280757</v>
      </c>
      <c r="BF8" s="21" t="n">
        <f aca="false">M8/(M8+AA8)</f>
        <v>0.3</v>
      </c>
      <c r="BG8" s="21" t="n">
        <f aca="false">N8/(N8+Z8)</f>
        <v>0.685714285714286</v>
      </c>
      <c r="BH8" s="21" t="n">
        <f aca="false">J8/H8</f>
        <v>0.4</v>
      </c>
      <c r="BI8" s="21" t="n">
        <f aca="false">L8/H8</f>
        <v>0.492307692307692</v>
      </c>
      <c r="BJ8" s="21" t="n">
        <f aca="false">Y8/U8</f>
        <v>0.551724137931035</v>
      </c>
    </row>
    <row r="9" customFormat="false" ht="15" hidden="false" customHeight="false" outlineLevel="0" collapsed="false">
      <c r="A9" s="20" t="s">
        <v>83</v>
      </c>
      <c r="B9" s="20" t="s">
        <v>84</v>
      </c>
      <c r="C9" s="20" t="s">
        <v>85</v>
      </c>
      <c r="D9" s="20" t="n">
        <v>93</v>
      </c>
      <c r="E9" s="20" t="n">
        <v>66</v>
      </c>
      <c r="F9" s="15" t="n">
        <f aca="false">D9-E9</f>
        <v>27</v>
      </c>
      <c r="G9" s="20" t="n">
        <v>32</v>
      </c>
      <c r="H9" s="20" t="n">
        <v>64</v>
      </c>
      <c r="I9" s="20" t="n">
        <v>8</v>
      </c>
      <c r="J9" s="20" t="n">
        <v>28</v>
      </c>
      <c r="K9" s="20" t="n">
        <v>21</v>
      </c>
      <c r="L9" s="20" t="n">
        <v>28</v>
      </c>
      <c r="M9" s="20" t="n">
        <v>16</v>
      </c>
      <c r="N9" s="20" t="n">
        <v>23</v>
      </c>
      <c r="O9" s="20" t="n">
        <v>15</v>
      </c>
      <c r="P9" s="20" t="n">
        <v>15</v>
      </c>
      <c r="Q9" s="20" t="n">
        <v>14</v>
      </c>
      <c r="R9" s="20" t="n">
        <v>3</v>
      </c>
      <c r="S9" s="20" t="n">
        <v>19</v>
      </c>
      <c r="T9" s="20" t="n">
        <v>23</v>
      </c>
      <c r="U9" s="20" t="n">
        <v>51</v>
      </c>
      <c r="V9" s="20" t="n">
        <v>8</v>
      </c>
      <c r="W9" s="20" t="n">
        <v>26</v>
      </c>
      <c r="X9" s="20" t="n">
        <v>12</v>
      </c>
      <c r="Y9" s="20" t="n">
        <v>17</v>
      </c>
      <c r="Z9" s="20" t="n">
        <v>9</v>
      </c>
      <c r="AA9" s="20" t="n">
        <v>21</v>
      </c>
      <c r="AB9" s="20" t="n">
        <v>13</v>
      </c>
      <c r="AC9" s="20" t="n">
        <v>23</v>
      </c>
      <c r="AD9" s="20" t="n">
        <v>4</v>
      </c>
      <c r="AE9" s="20" t="n">
        <v>1</v>
      </c>
      <c r="AF9" s="20" t="n">
        <v>17</v>
      </c>
      <c r="AG9" s="20" t="n">
        <v>21</v>
      </c>
      <c r="AH9" s="20" t="n">
        <v>14</v>
      </c>
      <c r="AI9" s="20" t="n">
        <v>40</v>
      </c>
      <c r="AJ9" s="20" t="n">
        <v>30</v>
      </c>
      <c r="AK9" s="20" t="n">
        <v>22</v>
      </c>
      <c r="AL9" s="20" t="n">
        <v>9</v>
      </c>
      <c r="AM9" s="20" t="n">
        <v>11</v>
      </c>
      <c r="AN9" s="20" t="n">
        <v>5</v>
      </c>
      <c r="AO9" s="20" t="n">
        <v>33</v>
      </c>
      <c r="AP9" s="20" t="n">
        <v>33</v>
      </c>
      <c r="AQ9" s="21" t="n">
        <f aca="false">G9/H9</f>
        <v>0.5</v>
      </c>
      <c r="AR9" s="21" t="n">
        <f aca="false">I9/J9</f>
        <v>0.285714285714286</v>
      </c>
      <c r="AS9" s="21" t="n">
        <f aca="false">K9/L9</f>
        <v>0.75</v>
      </c>
      <c r="AT9" s="21" t="n">
        <f aca="false">(G9+0.5*I9)/H9</f>
        <v>0.5625</v>
      </c>
      <c r="AU9" s="21" t="n">
        <f aca="false">T9/U9</f>
        <v>0.450980392156863</v>
      </c>
      <c r="AV9" s="21" t="n">
        <f aca="false">V9/W9</f>
        <v>0.307692307692308</v>
      </c>
      <c r="AW9" s="21" t="n">
        <f aca="false">(T9+0.5*V9)/U9</f>
        <v>0.529411764705882</v>
      </c>
      <c r="AX9" s="22" t="n">
        <f aca="false">H9-M9+P9+0.44*L9</f>
        <v>75.32</v>
      </c>
      <c r="AY9" s="22" t="n">
        <f aca="false">U9-Z9+AC9+0.44*Y9</f>
        <v>72.48</v>
      </c>
      <c r="AZ9" s="22" t="n">
        <f aca="false">(AX9+AY9)/2</f>
        <v>73.9</v>
      </c>
      <c r="BA9" s="22" t="n">
        <f aca="false">100*D9/AZ9</f>
        <v>125.845737483085</v>
      </c>
      <c r="BB9" s="22" t="n">
        <f aca="false">100*E9/AZ9</f>
        <v>89.3098782138024</v>
      </c>
      <c r="BC9" s="22" t="n">
        <f aca="false">BA9-BB9</f>
        <v>36.5358592692828</v>
      </c>
      <c r="BD9" s="21" t="n">
        <f aca="false">P9/AX9</f>
        <v>0.199150292087095</v>
      </c>
      <c r="BE9" s="21" t="n">
        <f aca="false">AC9/AY9</f>
        <v>0.317328918322296</v>
      </c>
      <c r="BF9" s="21" t="n">
        <f aca="false">M9/(M9+AA9)</f>
        <v>0.432432432432432</v>
      </c>
      <c r="BG9" s="21" t="n">
        <f aca="false">N9/(N9+Z9)</f>
        <v>0.71875</v>
      </c>
      <c r="BH9" s="21" t="n">
        <f aca="false">J9/H9</f>
        <v>0.4375</v>
      </c>
      <c r="BI9" s="21" t="n">
        <f aca="false">L9/H9</f>
        <v>0.4375</v>
      </c>
      <c r="BJ9" s="21" t="n">
        <f aca="false">Y9/U9</f>
        <v>0.333333333333333</v>
      </c>
    </row>
    <row r="10" customFormat="false" ht="15" hidden="false" customHeight="false" outlineLevel="0" collapsed="false">
      <c r="C10" s="3" t="s">
        <v>153</v>
      </c>
      <c r="D10" s="23" t="n">
        <f aca="false">IFERROR(AVERAGE(D5:D9),"")</f>
        <v>95.8</v>
      </c>
      <c r="E10" s="23" t="n">
        <f aca="false">IFERROR(AVERAGE(E5:E9),"")</f>
        <v>72.25</v>
      </c>
      <c r="F10" s="23" t="n">
        <f aca="false">IFERROR(AVERAGE(F5:F9),"")</f>
        <v>25.5</v>
      </c>
      <c r="G10" s="23" t="n">
        <f aca="false">IFERROR(AVERAGE(G5:G9),"")</f>
        <v>34.4</v>
      </c>
      <c r="H10" s="23" t="n">
        <f aca="false">IFERROR(AVERAGE(H5:H9),"")</f>
        <v>72.4</v>
      </c>
      <c r="I10" s="23" t="n">
        <f aca="false">IFERROR(AVERAGE(I5:I9),"")</f>
        <v>10.2</v>
      </c>
      <c r="J10" s="23" t="n">
        <f aca="false">IFERROR(AVERAGE(J5:J9),"")</f>
        <v>32.4</v>
      </c>
      <c r="K10" s="23" t="n">
        <f aca="false">IFERROR(AVERAGE(K5:K9),"")</f>
        <v>16.8</v>
      </c>
      <c r="L10" s="23" t="n">
        <f aca="false">IFERROR(AVERAGE(L5:L9),"")</f>
        <v>22.8</v>
      </c>
      <c r="M10" s="23" t="n">
        <f aca="false">IFERROR(AVERAGE(M5:M9),"")</f>
        <v>13</v>
      </c>
      <c r="N10" s="23" t="n">
        <f aca="false">IFERROR(AVERAGE(N5:N9),"")</f>
        <v>27.2</v>
      </c>
      <c r="O10" s="23" t="n">
        <f aca="false">IFERROR(AVERAGE(O5:O9),"")</f>
        <v>20.4</v>
      </c>
      <c r="P10" s="23" t="n">
        <f aca="false">IFERROR(AVERAGE(P5:P9),"")</f>
        <v>14</v>
      </c>
      <c r="Q10" s="23" t="n">
        <f aca="false">IFERROR(AVERAGE(Q5:Q9),"")</f>
        <v>15.4</v>
      </c>
      <c r="R10" s="23" t="n">
        <f aca="false">IFERROR(AVERAGE(R5:R9),"")</f>
        <v>2.6</v>
      </c>
      <c r="S10" s="23" t="n">
        <f aca="false">IFERROR(AVERAGE(S5:S9),"")</f>
        <v>23.2</v>
      </c>
      <c r="T10" s="23" t="n">
        <f aca="false">IFERROR(AVERAGE(T5:T9),"")</f>
        <v>23.25</v>
      </c>
      <c r="U10" s="23" t="n">
        <f aca="false">IFERROR(AVERAGE(U5:U9),"")</f>
        <v>56.75</v>
      </c>
      <c r="V10" s="23" t="n">
        <f aca="false">IFERROR(AVERAGE(V5:V9),"")</f>
        <v>8.75</v>
      </c>
      <c r="W10" s="23" t="n">
        <f aca="false">IFERROR(AVERAGE(W5:W9),"")</f>
        <v>28</v>
      </c>
      <c r="X10" s="23" t="n">
        <f aca="false">IFERROR(AVERAGE(X5:X9),"")</f>
        <v>17</v>
      </c>
      <c r="Y10" s="23" t="n">
        <f aca="false">IFERROR(AVERAGE(Y5:Y9),"")</f>
        <v>23.25</v>
      </c>
      <c r="Z10" s="23" t="n">
        <f aca="false">IFERROR(AVERAGE(Z5:Z9),"")</f>
        <v>9.25</v>
      </c>
      <c r="AA10" s="23" t="n">
        <f aca="false">IFERROR(AVERAGE(AA5:AA9),"")</f>
        <v>25.75</v>
      </c>
      <c r="AB10" s="23" t="n">
        <f aca="false">IFERROR(AVERAGE(AB5:AB9),"")</f>
        <v>11.75</v>
      </c>
      <c r="AC10" s="23" t="n">
        <f aca="false">IFERROR(AVERAGE(AC5:AC9),"")</f>
        <v>22.75</v>
      </c>
      <c r="AD10" s="23" t="n">
        <f aca="false">IFERROR(AVERAGE(AD5:AD9),"")</f>
        <v>4.25</v>
      </c>
      <c r="AE10" s="23" t="n">
        <f aca="false">IFERROR(AVERAGE(AE5:AE9),"")</f>
        <v>2.5</v>
      </c>
      <c r="AF10" s="23" t="n">
        <f aca="false">IFERROR(AVERAGE(AF5:AF9),"")</f>
        <v>17.5</v>
      </c>
      <c r="AG10" s="23" t="n">
        <f aca="false">IFERROR(AVERAGE(AG5:AG9),"")</f>
        <v>24.5</v>
      </c>
      <c r="AH10" s="23" t="n">
        <f aca="false">IFERROR(AVERAGE(AH5:AH9),"")</f>
        <v>11</v>
      </c>
      <c r="AI10" s="23" t="n">
        <f aca="false">IFERROR(AVERAGE(AI5:AI9),"")</f>
        <v>38.5</v>
      </c>
      <c r="AJ10" s="23" t="n">
        <f aca="false">IFERROR(AVERAGE(AJ5:AJ9),"")</f>
        <v>26</v>
      </c>
      <c r="AK10" s="23" t="n">
        <f aca="false">IFERROR(AVERAGE(AK5:AK9),"")</f>
        <v>17</v>
      </c>
      <c r="AL10" s="23" t="n">
        <f aca="false">IFERROR(AVERAGE(AL5:AL9),"")</f>
        <v>9</v>
      </c>
      <c r="AM10" s="23" t="n">
        <f aca="false">IFERROR(AVERAGE(AM5:AM9),"")</f>
        <v>16</v>
      </c>
      <c r="AN10" s="23" t="n">
        <f aca="false">IFERROR(AVERAGE(AN5:AN9),"")</f>
        <v>6.75</v>
      </c>
      <c r="AO10" s="23" t="n">
        <f aca="false">IFERROR(AVERAGE(AO5:AO9),"")</f>
        <v>42.25</v>
      </c>
      <c r="AP10" s="23" t="n">
        <f aca="false">IFERROR(AVERAGE(AP5:AP9),"")</f>
        <v>31.5</v>
      </c>
      <c r="AQ10" s="19" t="n">
        <f aca="false">IFERROR(AVERAGE(AQ5:AQ9),"")</f>
        <v>0.475186289449855</v>
      </c>
      <c r="AR10" s="19" t="n">
        <f aca="false">IFERROR(AVERAGE(AR5:AR9),"")</f>
        <v>0.312682033413741</v>
      </c>
      <c r="AS10" s="19" t="n">
        <f aca="false">IFERROR(AVERAGE(AS5:AS9),"")</f>
        <v>0.738690476190476</v>
      </c>
      <c r="AT10" s="19" t="n">
        <f aca="false">IFERROR(AVERAGE(AT5:AT9),"")</f>
        <v>0.544513576432181</v>
      </c>
      <c r="AU10" s="19" t="n">
        <f aca="false">IFERROR(AVERAGE(AU5:AU9),"")</f>
        <v>0.411584085803398</v>
      </c>
      <c r="AV10" s="19" t="n">
        <f aca="false">IFERROR(AVERAGE(AV5:AV9),"")</f>
        <v>0.313665501165501</v>
      </c>
      <c r="AW10" s="19" t="n">
        <f aca="false">IFERROR(AVERAGE(AW5:AW9),"")</f>
        <v>0.489192882380984</v>
      </c>
      <c r="AX10" s="23" t="n">
        <f aca="false">IFERROR(AVERAGE(AX5:AX9),"")</f>
        <v>83.432</v>
      </c>
      <c r="AY10" s="23" t="n">
        <f aca="false">IFERROR(AVERAGE(AY5:AY9),"")</f>
        <v>80.48</v>
      </c>
      <c r="AZ10" s="23" t="n">
        <f aca="false">IFERROR(AVERAGE(AZ5:AZ9),"")</f>
        <v>80.97</v>
      </c>
      <c r="BA10" s="23" t="n">
        <f aca="false">IFERROR(AVERAGE(BA5:BA9),"")</f>
        <v>120.954935566662</v>
      </c>
      <c r="BB10" s="23" t="n">
        <f aca="false">IFERROR(AVERAGE(BB5:BB9),"")</f>
        <v>89.9563049477772</v>
      </c>
      <c r="BC10" s="23" t="n">
        <f aca="false">IFERROR(AVERAGE(BC5:BC9),"")</f>
        <v>30.9986306188851</v>
      </c>
      <c r="BD10" s="19" t="n">
        <f aca="false">IFERROR(AVERAGE(BD5:BD9),"")</f>
        <v>0.167121220492699</v>
      </c>
      <c r="BE10" s="19" t="n">
        <f aca="false">IFERROR(AVERAGE(BE5:BE9),"")</f>
        <v>0.281638641490382</v>
      </c>
      <c r="BF10" s="19" t="n">
        <f aca="false">IFERROR(AVERAGE(BF5:BF9),"")</f>
        <v>0.356580493537015</v>
      </c>
      <c r="BG10" s="19" t="n">
        <f aca="false">IFERROR(AVERAGE(BG5:BG9),"")</f>
        <v>0.741576597744361</v>
      </c>
      <c r="BH10" s="19" t="n">
        <f aca="false">IFERROR(AVERAGE(BH5:BH9),"")</f>
        <v>0.444280727168324</v>
      </c>
      <c r="BI10" s="19" t="n">
        <f aca="false">IFERROR(AVERAGE(BI5:BI9),"")</f>
        <v>0.332997792474537</v>
      </c>
      <c r="BJ10" s="19" t="n">
        <f aca="false">IFERROR(AVERAGE(BJ5:BJ9),"")</f>
        <v>0.409916441548811</v>
      </c>
    </row>
    <row r="12" customFormat="false" ht="15" hidden="false" customHeight="false" outlineLevel="0" collapsed="false">
      <c r="A12" s="2" t="s">
        <v>154</v>
      </c>
    </row>
    <row r="13" customFormat="false" ht="15" hidden="false" customHeight="false" outlineLevel="0" collapsed="false">
      <c r="A13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2026-10-19T16:34:11Z</dcterms:created>
  <dc:creator>openpyxl</dc:creator>
  <dc:description/>
  <dc:language>en-US</dc:language>
  <cp:lastModifiedBy/>
  <dcterms:modified xsi:type="dcterms:W3CDTF">2026-10-19T16:34:12Z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